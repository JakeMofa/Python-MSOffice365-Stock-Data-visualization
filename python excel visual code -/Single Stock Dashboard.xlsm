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mc:AlternateContent xmlns:mc="http://schemas.openxmlformats.org/markup-compatibility/2006">
    <mc:Choice Requires="x15">
      <x15ac:absPath xmlns:x15ac="http://schemas.microsoft.com/office/spreadsheetml/2010/11/ac" url="C:\Users\JakeBondoa\Desktop\python excel visual code\"/>
    </mc:Choice>
  </mc:AlternateContent>
  <xr:revisionPtr revIDLastSave="0" documentId="13_ncr:1_{10A506AA-3F28-4A91-A393-F6E839D7EDCF}" xr6:coauthVersionLast="47" xr6:coauthVersionMax="47" xr10:uidLastSave="{00000000-0000-0000-0000-000000000000}"/>
  <bookViews>
    <workbookView xWindow="-28920" yWindow="-120" windowWidth="29040" windowHeight="16440" xr2:uid="{00000000-000D-0000-FFFF-FFFF00000000}"/>
  </bookViews>
  <sheets>
    <sheet name="Analysis" sheetId="1" r:id="rId1"/>
    <sheet name="Stock Fx" sheetId="8" r:id="rId2"/>
  </sheet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4" i="1" l="1" a="1"/>
  <c r="T4" i="1" s="1"/>
  <c r="B4" i="8" a="1"/>
  <c r="B4" i="8" s="1"/>
  <c r="B5" i="8" a="1"/>
  <c r="B5" i="8" s="1"/>
  <c r="B6" i="8" a="1"/>
  <c r="B6" i="8" s="1"/>
  <c r="B40" i="1" s="1"/>
  <c r="B7" i="8" a="1"/>
  <c r="B7" i="8" s="1"/>
  <c r="F40" i="1" s="1"/>
  <c r="B8" i="8" a="1"/>
  <c r="B8" i="8" s="1"/>
  <c r="J40" i="1" s="1"/>
  <c r="B9" i="8" a="1"/>
  <c r="B9" i="8" s="1"/>
  <c r="B42" i="1" s="1"/>
  <c r="B10" i="8" a="1"/>
  <c r="B10" i="8" s="1"/>
  <c r="F42" i="1" s="1"/>
  <c r="B11" i="8" a="1"/>
  <c r="B11" i="8" s="1"/>
  <c r="J42" i="1" s="1"/>
  <c r="B3" i="8" a="1"/>
  <c r="B3" i="8" s="1"/>
  <c r="D4" i="8" a="1"/>
  <c r="D4" i="8" s="1"/>
  <c r="I38" i="1" s="1"/>
  <c r="H38" i="1" s="1"/>
  <c r="D5" i="8" a="1"/>
  <c r="D5" i="8" s="1"/>
  <c r="M38" i="1" s="1"/>
  <c r="L38" i="1" s="1"/>
  <c r="D6" i="8" a="1"/>
  <c r="D6" i="8" s="1"/>
  <c r="E40" i="1" s="1"/>
  <c r="D40" i="1" s="1"/>
  <c r="D7" i="8" a="1"/>
  <c r="D7" i="8" s="1"/>
  <c r="I40" i="1" s="1"/>
  <c r="H40" i="1" s="1"/>
  <c r="D8" i="8" a="1"/>
  <c r="D8" i="8" s="1"/>
  <c r="M40" i="1" s="1"/>
  <c r="L40" i="1" s="1"/>
  <c r="D9" i="8" a="1"/>
  <c r="D9" i="8" s="1"/>
  <c r="E42" i="1" s="1"/>
  <c r="D42" i="1" s="1"/>
  <c r="D10" i="8" a="1"/>
  <c r="D10" i="8" s="1"/>
  <c r="I42" i="1" s="1"/>
  <c r="H42" i="1" s="1"/>
  <c r="D11" i="8" a="1"/>
  <c r="D11" i="8" s="1"/>
  <c r="M42" i="1" s="1"/>
  <c r="L42" i="1" s="1"/>
  <c r="D3" i="8" a="1"/>
  <c r="D3" i="8" s="1"/>
  <c r="E38" i="1" s="1"/>
  <c r="D38" i="1" s="1"/>
  <c r="C6" i="8" a="1"/>
  <c r="C6" i="8" s="1"/>
  <c r="C40" i="1" s="1"/>
  <c r="C7" i="8" a="1"/>
  <c r="C7" i="8" s="1"/>
  <c r="G40" i="1" s="1"/>
  <c r="C8" i="8" a="1"/>
  <c r="C8" i="8" s="1"/>
  <c r="K40" i="1" s="1"/>
  <c r="C9" i="8" a="1"/>
  <c r="C9" i="8" s="1"/>
  <c r="C42" i="1" s="1"/>
  <c r="C10" i="8" a="1"/>
  <c r="C10" i="8" s="1"/>
  <c r="G42" i="1" s="1"/>
  <c r="C11" i="8" a="1"/>
  <c r="C11" i="8" s="1"/>
  <c r="K42" i="1" s="1"/>
  <c r="C5" i="8" a="1"/>
  <c r="C5" i="8" s="1"/>
  <c r="K38" i="1" s="1"/>
  <c r="C3" i="8" a="1"/>
  <c r="C3" i="8" s="1"/>
  <c r="C38" i="1" s="1"/>
  <c r="C4" i="8" a="1"/>
  <c r="C4" i="8" s="1"/>
  <c r="G38" i="1" s="1"/>
  <c r="R4" i="1" a="1"/>
  <c r="R4" i="1" s="1"/>
  <c r="W6" i="1" a="1"/>
  <c r="W6" i="1" s="1"/>
  <c r="F6" i="1" s="1"/>
  <c r="U6" i="1" a="1"/>
  <c r="U6" i="1" s="1"/>
  <c r="S6" i="1" a="1"/>
  <c r="S6" i="1" s="1"/>
  <c r="Q6" i="1" a="1"/>
  <c r="Q6"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CE5515-BEE5-45B7-9CF9-9755BF4A8A38}" keepAlive="1" name="Query - Raw Data_ohlc" description="Connection to the 'Raw Data_ohlc' query in the workbook." type="5" refreshedVersion="7" background="1" saveData="1">
    <dbPr connection="Provider=Microsoft.Mashup.OleDb.1;Data Source=$Workbook$;Location=&quot;Raw Data_ohlc&quot;;Extended Properties=&quot;&quot;" command="SELECT * FROM [Raw Data_ohlc]"/>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futureMetadata>
  <cellMetadata count="1">
    <bk>
      <rc t="1" v="0"/>
    </bk>
  </cellMetadata>
  <valueMetadata count="9">
    <bk>
      <rc t="2" v="0"/>
    </bk>
    <bk>
      <rc t="2" v="1"/>
    </bk>
    <bk>
      <rc t="2" v="2"/>
    </bk>
    <bk>
      <rc t="2" v="3"/>
    </bk>
    <bk>
      <rc t="2" v="4"/>
    </bk>
    <bk>
      <rc t="2" v="5"/>
    </bk>
    <bk>
      <rc t="2" v="6"/>
    </bk>
    <bk>
      <rc t="2" v="7"/>
    </bk>
    <bk>
      <rc t="2" v="8"/>
    </bk>
  </valueMetadata>
</metadata>
</file>

<file path=xl/sharedStrings.xml><?xml version="1.0" encoding="utf-8"?>
<sst xmlns="http://schemas.openxmlformats.org/spreadsheetml/2006/main" count="13" uniqueCount="13">
  <si>
    <t xml:space="preserve">O </t>
  </si>
  <si>
    <t xml:space="preserve">H </t>
  </si>
  <si>
    <t xml:space="preserve">L </t>
  </si>
  <si>
    <t xml:space="preserve">C </t>
  </si>
  <si>
    <t>AAPL</t>
  </si>
  <si>
    <t>Price</t>
  </si>
  <si>
    <t>% Chg</t>
  </si>
  <si>
    <t>Code</t>
  </si>
  <si>
    <t>S&amp;P 500</t>
  </si>
  <si>
    <t>DOW</t>
  </si>
  <si>
    <t>NASDAQ</t>
  </si>
  <si>
    <t>.LIVE</t>
  </si>
  <si>
    <t>eMCA Finance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</si>
</sst>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 mmm\ yyyy\,\ dddd"/>
    <numFmt numFmtId="166" formatCode="_([$$-409]* #,##0.00_);_([$$-409]* \(#,##0.00\);_([$$-409]* &quot;-&quot;??_);_(@_)"/>
    <numFmt numFmtId="167" formatCode="\+0.00%;\-0.00%"/>
    <numFmt numFmtId="168" formatCode="[Green]&quot;▲&quot;;[Red]\ &quot;▼&quot;"/>
    <numFmt numFmtId="169" formatCode="0.0000%"/>
  </numFmts>
  <fonts count="11" x14ac:knownFonts="1">
    <font>
      <sz val="11"/>
      <color theme="1"/>
      <name val="Calibri"/>
      <family val="2"/>
      <scheme val="minor"/>
    </font>
    <font>
      <b/>
      <sz val="11"/>
      <color rgb="FF3F70E5"/>
      <name val="Calibri"/>
      <family val="2"/>
      <scheme val="minor"/>
    </font>
    <font>
      <sz val="11"/>
      <color theme="0"/>
      <name val="Arial"/>
      <family val="2"/>
    </font>
    <font>
      <sz val="14"/>
      <color theme="0"/>
      <name val="Arial"/>
      <family val="2"/>
    </font>
    <font>
      <sz val="16"/>
      <color theme="1"/>
      <name val="Arial"/>
      <family val="2"/>
    </font>
    <font>
      <b/>
      <sz val="10"/>
      <color rgb="FF193A95"/>
      <name val="Calibri"/>
      <family val="2"/>
      <scheme val="minor"/>
    </font>
    <font>
      <b/>
      <sz val="10"/>
      <color rgb="FF3F70E5"/>
      <name val="Calibri"/>
      <family val="2"/>
      <scheme val="minor"/>
    </font>
    <font>
      <b/>
      <sz val="9"/>
      <color theme="0"/>
      <name val="Calibri"/>
      <family val="2"/>
      <scheme val="minor"/>
    </font>
    <font>
      <b/>
      <sz val="11"/>
      <color theme="1"/>
      <name val="Calibri"/>
      <family val="2"/>
      <scheme val="minor"/>
    </font>
    <font>
      <sz val="11"/>
      <color theme="1"/>
      <name val="Calibri"/>
      <family val="2"/>
      <scheme val="minor"/>
    </font>
    <font>
      <b/>
      <sz val="11"/>
      <color theme="0"/>
      <name val="Arial"/>
      <family val="2"/>
    </font>
  </fonts>
  <fills count="8">
    <fill>
      <patternFill patternType="none"/>
    </fill>
    <fill>
      <patternFill patternType="gray125"/>
    </fill>
    <fill>
      <patternFill patternType="solid">
        <fgColor rgb="FFF5F6FA"/>
        <bgColor indexed="64"/>
      </patternFill>
    </fill>
    <fill>
      <patternFill patternType="solid">
        <fgColor theme="0"/>
        <bgColor indexed="64"/>
      </patternFill>
    </fill>
    <fill>
      <patternFill patternType="solid">
        <fgColor rgb="FF193A95"/>
        <bgColor indexed="64"/>
      </patternFill>
    </fill>
    <fill>
      <patternFill patternType="solid">
        <fgColor rgb="FFD40017"/>
        <bgColor indexed="64"/>
      </patternFill>
    </fill>
    <fill>
      <patternFill patternType="solid">
        <fgColor rgb="FF185490"/>
        <bgColor indexed="64"/>
      </patternFill>
    </fill>
    <fill>
      <patternFill patternType="solid">
        <fgColor rgb="FF0B3765"/>
        <bgColor indexed="64"/>
      </patternFill>
    </fill>
  </fills>
  <borders count="1">
    <border>
      <left/>
      <right/>
      <top/>
      <bottom/>
      <diagonal/>
    </border>
  </borders>
  <cellStyleXfs count="2">
    <xf numFmtId="0" fontId="0" fillId="0" borderId="0"/>
    <xf numFmtId="9" fontId="9" fillId="0" borderId="0" applyFont="0" applyFill="0" applyBorder="0" applyAlignment="0" applyProtection="0"/>
  </cellStyleXfs>
  <cellXfs count="30">
    <xf numFmtId="0" fontId="0" fillId="0" borderId="0" xfId="0"/>
    <xf numFmtId="0" fontId="0" fillId="2" borderId="0" xfId="0" applyFill="1"/>
    <xf numFmtId="0" fontId="0" fillId="3" borderId="0" xfId="0" applyFill="1" applyAlignment="1">
      <alignment horizontal="center" vertical="center"/>
    </xf>
    <xf numFmtId="0" fontId="0" fillId="3" borderId="0" xfId="0" applyFill="1"/>
    <xf numFmtId="0" fontId="1" fillId="3" borderId="0" xfId="0" applyFont="1" applyFill="1" applyAlignment="1">
      <alignment horizontal="left"/>
    </xf>
    <xf numFmtId="0" fontId="0" fillId="4" borderId="0" xfId="0" applyFill="1"/>
    <xf numFmtId="0" fontId="4" fillId="3" borderId="0" xfId="0" applyFont="1" applyFill="1" applyAlignment="1">
      <alignment horizontal="right"/>
    </xf>
    <xf numFmtId="0" fontId="0" fillId="3" borderId="0" xfId="0" applyFill="1" applyAlignment="1">
      <alignment vertical="center"/>
    </xf>
    <xf numFmtId="2" fontId="5" fillId="3" borderId="0" xfId="0" applyNumberFormat="1" applyFont="1" applyFill="1" applyAlignment="1">
      <alignment horizontal="right" vertical="center"/>
    </xf>
    <xf numFmtId="2" fontId="6" fillId="3" borderId="0" xfId="0" applyNumberFormat="1" applyFont="1" applyFill="1" applyAlignment="1">
      <alignment horizontal="left" vertical="center"/>
    </xf>
    <xf numFmtId="166" fontId="0" fillId="0" borderId="0" xfId="0" applyNumberFormat="1"/>
    <xf numFmtId="0" fontId="8" fillId="0" borderId="0" xfId="0" applyFont="1"/>
    <xf numFmtId="0" fontId="0" fillId="6" borderId="0" xfId="0" applyFill="1"/>
    <xf numFmtId="0" fontId="0" fillId="7" borderId="0" xfId="0" applyFill="1"/>
    <xf numFmtId="164" fontId="7" fillId="4" borderId="0" xfId="0" applyNumberFormat="1" applyFont="1" applyFill="1" applyAlignment="1">
      <alignment vertical="center" wrapText="1"/>
    </xf>
    <xf numFmtId="0" fontId="10" fillId="6" borderId="0" xfId="0" applyFont="1" applyFill="1" applyAlignment="1">
      <alignment horizontal="right" vertical="center"/>
    </xf>
    <xf numFmtId="167" fontId="2" fillId="6" borderId="0" xfId="0" applyNumberFormat="1" applyFont="1" applyFill="1" applyAlignment="1">
      <alignment horizontal="left" vertical="center"/>
    </xf>
    <xf numFmtId="0" fontId="3" fillId="4" borderId="0" xfId="0" applyFont="1" applyFill="1" applyAlignment="1">
      <alignment horizontal="left" vertical="center"/>
    </xf>
    <xf numFmtId="0" fontId="0" fillId="4" borderId="0" xfId="0" applyFill="1" applyAlignment="1">
      <alignment horizontal="left" vertical="center"/>
    </xf>
    <xf numFmtId="18" fontId="7" fillId="4" borderId="0" xfId="0" applyNumberFormat="1" applyFont="1" applyFill="1" applyAlignment="1">
      <alignment horizontal="left" vertical="center" wrapText="1"/>
    </xf>
    <xf numFmtId="164" fontId="7" fillId="4" borderId="0" xfId="0" applyNumberFormat="1" applyFont="1" applyFill="1" applyAlignment="1">
      <alignment horizontal="left" vertical="center" wrapText="1"/>
    </xf>
    <xf numFmtId="0" fontId="10" fillId="5" borderId="0" xfId="0" applyFont="1" applyFill="1" applyAlignment="1">
      <alignment horizontal="center" vertical="center"/>
    </xf>
    <xf numFmtId="0" fontId="2" fillId="4" borderId="0" xfId="0" applyFont="1" applyFill="1" applyAlignment="1">
      <alignment vertical="center"/>
    </xf>
    <xf numFmtId="169" fontId="0" fillId="0" borderId="0" xfId="1" applyNumberFormat="1" applyFont="1"/>
    <xf numFmtId="168" fontId="2" fillId="6" borderId="0" xfId="0" applyNumberFormat="1" applyFont="1" applyFill="1" applyAlignment="1">
      <alignment horizontal="center" vertical="center"/>
    </xf>
    <xf numFmtId="4" fontId="2" fillId="6" borderId="0" xfId="0" applyNumberFormat="1" applyFont="1" applyFill="1" applyAlignment="1">
      <alignment horizontal="right" vertical="center"/>
    </xf>
    <xf numFmtId="0" fontId="0" fillId="7" borderId="0" xfId="0" applyFill="1" applyAlignment="1">
      <alignment horizontal="right"/>
    </xf>
    <xf numFmtId="0" fontId="4" fillId="3" borderId="0" xfId="0" applyFont="1" applyFill="1" applyAlignment="1">
      <alignment horizontal="left"/>
    </xf>
    <xf numFmtId="18" fontId="7" fillId="4" borderId="0" xfId="0" applyNumberFormat="1" applyFont="1" applyFill="1" applyAlignment="1">
      <alignment horizontal="center" vertical="center" wrapText="1"/>
    </xf>
    <xf numFmtId="164" fontId="7" fillId="4" borderId="0" xfId="0" applyNumberFormat="1" applyFont="1" applyFill="1" applyAlignment="1">
      <alignment horizontal="center" vertical="center" wrapText="1"/>
    </xf>
  </cellXfs>
  <cellStyles count="2">
    <cellStyle name="Normal" xfId="0" builtinId="0"/>
    <cellStyle name="Percent" xfId="1" builtinId="5"/>
  </cellStyles>
  <dxfs count="0"/>
  <tableStyles count="0" defaultTableStyle="TableStyleMedium2" defaultPivotStyle="PivotStyleLight16"/>
  <colors>
    <mruColors>
      <color rgb="FF0B3765"/>
      <color rgb="FF185490"/>
      <color rgb="FF67757B"/>
      <color rgb="FF3F70E5"/>
      <color rgb="FFFE375F"/>
      <color rgb="FFD40017"/>
      <color rgb="FF309454"/>
      <color rgb="FFD9F3E2"/>
      <color rgb="FFD3F1DE"/>
      <color rgb="FF34A25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theme" Target="theme/theme1.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ustomXml" Target="../customXml/item1.xml"/><Relationship Id="rId10" Type="http://schemas.microsoft.com/office/2017/06/relationships/richStyles" Target="richData/richStyles.xml"/><Relationship Id="rId4" Type="http://schemas.openxmlformats.org/officeDocument/2006/relationships/connections" Target="connections.xml"/><Relationship Id="rId9" Type="http://schemas.microsoft.com/office/2017/06/relationships/rdRichValueStructure" Target="richData/rdrichvaluestructure.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#REF!</c15:sqref>
                        </c15:formulaRef>
                      </c:ext>
                    </c:extLst>
                  </c:numRef>
                </c15:cat>
              </c15:filteredCategoryTitle>
            </c:ext>
            <c:ext xmlns:c16="http://schemas.microsoft.com/office/drawing/2014/chart" uri="{C3380CC4-5D6E-409C-BE32-E72D297353CC}">
              <c16:uniqueId val="{00000000-1E9A-4A80-A4B9-D54789BE879F}"/>
            </c:ext>
          </c:extLst>
        </c:ser>
        <c:dLbls>
          <c:showLegendKey val="0"/>
          <c:showVal val="0"/>
          <c:showCatName val="0"/>
          <c:showSerName val="0"/>
          <c:showPercent val="0"/>
          <c:showBubbleSize val="0"/>
        </c:dLbls>
        <c:gapWidth val="150"/>
        <c:axId val="26467664"/>
        <c:axId val="26465168"/>
      </c:barChart>
      <c:stockChart>
        <c:ser>
          <c:idx val="1"/>
          <c:order val="1"/>
          <c:spPr>
            <a:ln w="25400" cap="rnd">
              <a:no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#REF!</c15:sqref>
                        </c15:formulaRef>
                      </c:ext>
                    </c:extLst>
                  </c:numRef>
                </c15:cat>
              </c15:filteredCategoryTitle>
            </c:ext>
            <c:ext xmlns:c16="http://schemas.microsoft.com/office/drawing/2014/chart" uri="{C3380CC4-5D6E-409C-BE32-E72D297353CC}">
              <c16:uniqueId val="{00000001-1E9A-4A80-A4B9-D54789BE879F}"/>
            </c:ext>
          </c:extLst>
        </c:ser>
        <c:ser>
          <c:idx val="2"/>
          <c:order val="2"/>
          <c:spPr>
            <a:ln w="25400" cap="rnd">
              <a:no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#REF!</c15:sqref>
                        </c15:formulaRef>
                      </c:ext>
                    </c:extLst>
                  </c:numRef>
                </c15:cat>
              </c15:filteredCategoryTitle>
            </c:ext>
            <c:ext xmlns:c16="http://schemas.microsoft.com/office/drawing/2014/chart" uri="{C3380CC4-5D6E-409C-BE32-E72D297353CC}">
              <c16:uniqueId val="{00000002-1E9A-4A80-A4B9-D54789BE879F}"/>
            </c:ext>
          </c:extLst>
        </c:ser>
        <c:ser>
          <c:idx val="3"/>
          <c:order val="3"/>
          <c:spPr>
            <a:ln w="25400" cap="rnd">
              <a:no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#REF!</c15:sqref>
                        </c15:formulaRef>
                      </c:ext>
                    </c:extLst>
                  </c:numRef>
                </c15:cat>
              </c15:filteredCategoryTitle>
            </c:ext>
            <c:ext xmlns:c16="http://schemas.microsoft.com/office/drawing/2014/chart" uri="{C3380CC4-5D6E-409C-BE32-E72D297353CC}">
              <c16:uniqueId val="{00000003-1E9A-4A80-A4B9-D54789BE879F}"/>
            </c:ext>
          </c:extLst>
        </c:ser>
        <c:ser>
          <c:idx val="4"/>
          <c:order val="4"/>
          <c:spPr>
            <a:ln w="25400" cap="rnd">
              <a:noFill/>
              <a:round/>
            </a:ln>
            <a:effectLst/>
          </c:spPr>
          <c:marker>
            <c:symbol val="none"/>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#REF!</c15:sqref>
                        </c15:formulaRef>
                      </c:ext>
                    </c:extLst>
                  </c:numRef>
                </c15:cat>
              </c15:filteredCategoryTitle>
            </c:ext>
            <c:ext xmlns:c16="http://schemas.microsoft.com/office/drawing/2014/chart" uri="{C3380CC4-5D6E-409C-BE32-E72D297353CC}">
              <c16:uniqueId val="{00000001-3C18-464A-AC42-7518A9551F66}"/>
            </c:ext>
          </c:extLst>
        </c:ser>
        <c:dLbls>
          <c:showLegendKey val="0"/>
          <c:showVal val="0"/>
          <c:showCatName val="0"/>
          <c:showSerName val="0"/>
          <c:showPercent val="0"/>
          <c:showBubbleSize val="0"/>
        </c:dLbls>
        <c:hiLowLines>
          <c:spPr>
            <a:ln w="12700" cap="flat" cmpd="sng" algn="ctr">
              <a:solidFill>
                <a:srgbClr val="67757B"/>
              </a:solidFill>
              <a:round/>
            </a:ln>
            <a:effectLst/>
          </c:spPr>
        </c:hiLowLines>
        <c:upDownBars>
          <c:gapWidth val="150"/>
          <c:upBars>
            <c:spPr>
              <a:solidFill>
                <a:srgbClr val="3F70E5"/>
              </a:solidFill>
              <a:ln w="31750" cap="flat" cmpd="sng" algn="ctr">
                <a:solidFill>
                  <a:srgbClr val="3F70E5"/>
                </a:solidFill>
                <a:round/>
              </a:ln>
              <a:effectLst/>
            </c:spPr>
          </c:upBars>
          <c:downBars>
            <c:spPr>
              <a:solidFill>
                <a:srgbClr val="FE375F"/>
              </a:solidFill>
              <a:ln w="34925" cap="flat" cmpd="sng" algn="ctr">
                <a:solidFill>
                  <a:srgbClr val="FE375F"/>
                </a:solidFill>
                <a:round/>
              </a:ln>
              <a:effectLst/>
            </c:spPr>
          </c:downBars>
        </c:upDownBars>
        <c:axId val="142691808"/>
        <c:axId val="142695968"/>
      </c:stockChart>
      <c:catAx>
        <c:axId val="26467664"/>
        <c:scaling>
          <c:orientation val="minMax"/>
        </c:scaling>
        <c:delete val="0"/>
        <c:axPos val="b"/>
        <c:majorGridlines>
          <c:spPr>
            <a:ln w="9525" cap="flat" cmpd="sng" algn="ctr">
              <a:solidFill>
                <a:schemeClr val="bg1">
                  <a:lumMod val="95000"/>
                </a:schemeClr>
              </a:solidFill>
              <a:round/>
            </a:ln>
            <a:effectLst/>
          </c:spPr>
        </c:majorGridlines>
        <c:numFmt formatCode="hh: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2">
                    <a:lumMod val="50000"/>
                  </a:schemeClr>
                </a:solidFill>
                <a:latin typeface="Arial" panose="020B0604020202020204" pitchFamily="34" charset="0"/>
                <a:ea typeface="+mn-ea"/>
                <a:cs typeface="Arial" panose="020B0604020202020204" pitchFamily="34" charset="0"/>
              </a:defRPr>
            </a:pPr>
            <a:endParaRPr lang="en-US"/>
          </a:p>
        </c:txPr>
        <c:crossAx val="26465168"/>
        <c:crosses val="autoZero"/>
        <c:auto val="0"/>
        <c:lblAlgn val="ctr"/>
        <c:lblOffset val="100"/>
        <c:tickLblSkip val="10"/>
        <c:tickMarkSkip val="10"/>
        <c:noMultiLvlLbl val="0"/>
      </c:catAx>
      <c:valAx>
        <c:axId val="26465168"/>
        <c:scaling>
          <c:orientation val="minMax"/>
        </c:scaling>
        <c:delete val="0"/>
        <c:axPos val="l"/>
        <c:majorGridlines>
          <c:spPr>
            <a:ln w="9525" cap="flat" cmpd="sng" algn="ctr">
              <a:solidFill>
                <a:schemeClr val="bg1">
                  <a:lumMod val="9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309454"/>
                </a:solidFill>
                <a:latin typeface="Arial" panose="020B0604020202020204" pitchFamily="34" charset="0"/>
                <a:ea typeface="+mn-ea"/>
                <a:cs typeface="Arial" panose="020B0604020202020204" pitchFamily="34" charset="0"/>
              </a:defRPr>
            </a:pPr>
            <a:endParaRPr lang="en-US"/>
          </a:p>
        </c:txPr>
        <c:crossAx val="26467664"/>
        <c:crosses val="autoZero"/>
        <c:crossBetween val="between"/>
        <c:majorUnit val="200000"/>
      </c:valAx>
      <c:valAx>
        <c:axId val="142695968"/>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193A95"/>
                </a:solidFill>
                <a:latin typeface="Arial" panose="020B0604020202020204" pitchFamily="34" charset="0"/>
                <a:ea typeface="+mn-ea"/>
                <a:cs typeface="Arial" panose="020B0604020202020204" pitchFamily="34" charset="0"/>
              </a:defRPr>
            </a:pPr>
            <a:endParaRPr lang="en-US"/>
          </a:p>
        </c:txPr>
        <c:crossAx val="142691808"/>
        <c:crosses val="max"/>
        <c:crossBetween val="between"/>
      </c:valAx>
      <c:catAx>
        <c:axId val="142691808"/>
        <c:scaling>
          <c:orientation val="minMax"/>
        </c:scaling>
        <c:delete val="1"/>
        <c:axPos val="b"/>
        <c:numFmt formatCode="hh:mm" sourceLinked="1"/>
        <c:majorTickMark val="out"/>
        <c:minorTickMark val="none"/>
        <c:tickLblPos val="nextTo"/>
        <c:crossAx val="142695968"/>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161925</xdr:colOff>
      <xdr:row>5</xdr:row>
      <xdr:rowOff>139562</xdr:rowOff>
    </xdr:from>
    <xdr:to>
      <xdr:col>23</xdr:col>
      <xdr:colOff>940072</xdr:colOff>
      <xdr:row>34</xdr:row>
      <xdr:rowOff>120512</xdr:rowOff>
    </xdr:to>
    <xdr:graphicFrame macro="">
      <xdr:nvGraphicFramePr>
        <xdr:cNvPr id="7" name="Chart 6">
          <a:extLst>
            <a:ext uri="{FF2B5EF4-FFF2-40B4-BE49-F238E27FC236}">
              <a16:creationId xmlns:a16="http://schemas.microsoft.com/office/drawing/2014/main" id="{3369A330-1B3E-4D47-BC9A-F01D8005A9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74543</xdr:colOff>
      <xdr:row>2</xdr:row>
      <xdr:rowOff>33132</xdr:rowOff>
    </xdr:from>
    <xdr:to>
      <xdr:col>3</xdr:col>
      <xdr:colOff>63825</xdr:colOff>
      <xdr:row>4</xdr:row>
      <xdr:rowOff>14874</xdr:rowOff>
    </xdr:to>
    <xdr:pic macro="[0]!OnMouseClick">
      <xdr:nvPicPr>
        <xdr:cNvPr id="3" name="Live">
          <a:extLst>
            <a:ext uri="{FF2B5EF4-FFF2-40B4-BE49-F238E27FC236}">
              <a16:creationId xmlns:a16="http://schemas.microsoft.com/office/drawing/2014/main" id="{5F372BC7-6716-495F-A0C7-5AE5D32C458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543" y="223632"/>
          <a:ext cx="1905000" cy="528394"/>
        </a:xfrm>
        <a:prstGeom prst="rect">
          <a:avLst/>
        </a:prstGeom>
      </xdr:spPr>
    </xdr:pic>
    <xdr:clientData/>
  </xdr:twoCellAnchor>
  <xdr:twoCellAnchor editAs="oneCell">
    <xdr:from>
      <xdr:col>3</xdr:col>
      <xdr:colOff>170037</xdr:colOff>
      <xdr:row>2</xdr:row>
      <xdr:rowOff>24849</xdr:rowOff>
    </xdr:from>
    <xdr:to>
      <xdr:col>5</xdr:col>
      <xdr:colOff>876581</xdr:colOff>
      <xdr:row>4</xdr:row>
      <xdr:rowOff>13816</xdr:rowOff>
    </xdr:to>
    <xdr:pic macro="[0]!OnMouseClick">
      <xdr:nvPicPr>
        <xdr:cNvPr id="8" name="Stop">
          <a:extLst>
            <a:ext uri="{FF2B5EF4-FFF2-40B4-BE49-F238E27FC236}">
              <a16:creationId xmlns:a16="http://schemas.microsoft.com/office/drawing/2014/main" id="{3E1DE6AD-1885-4223-AC21-BA17694609D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97449" y="215349"/>
          <a:ext cx="1939191" cy="549261"/>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1">
  <rv s="0">
    <v>https://www.bing.com/financeapi/forcetrigger?t=a6qja2&amp;q=DOW+JONES+INDU+AVERAGE+NDX&amp;form=skydnc</v>
    <v>Learn more on Bing</v>
  </rv>
  <rv s="1">
    <v>en-HK</v>
    <v>a6qja2</v>
    <v>268435456</v>
    <v>1</v>
    <v>Powered by Refinitiv</v>
    <v>0</v>
    <v>DOW JONES INDU AVERAGE NDX</v>
    <v>2</v>
    <v>3</v>
    <v>Finance</v>
    <v>4</v>
    <v>36952.65</v>
    <v>29653.29</v>
    <v>156.24</v>
    <v>4.607E-3</v>
    <v>US</v>
    <v>34281.360000000001</v>
    <v>Index</v>
    <v>0</v>
    <v>33852.57</v>
    <v>DOW JONES INDU AVERAGE NDX</v>
    <v>33924.35</v>
    <v>33912.44</v>
    <v>34068.68</v>
    <v>DJI</v>
    <v>DOW JONES INDU AVERAGE NDX</v>
  </rv>
  <rv s="2">
    <v>1</v>
  </rv>
  <rv s="0">
    <v>https://www.bing.com/financeapi/forcetrigger?t=a33k6h&amp;q=S%26P+500+INDEX&amp;form=skydnc</v>
    <v>Learn more on Bing</v>
  </rv>
  <rv s="1">
    <v>en-HK</v>
    <v>a33k6h</v>
    <v>268435456</v>
    <v>1</v>
    <v>Powered by Refinitiv</v>
    <v>0</v>
    <v>S&amp;P 500 INDEX</v>
    <v>2</v>
    <v>3</v>
    <v>Finance</v>
    <v>4</v>
    <v>4818.62</v>
    <v>3636.87</v>
    <v>5.04</v>
    <v>1.173E-3</v>
    <v>US</v>
    <v>4325.28</v>
    <v>Index</v>
    <v>3</v>
    <v>4277.7700000000004</v>
    <v>S&amp;P 500 INDEX</v>
    <v>4290.46</v>
    <v>4297.1400000000003</v>
    <v>4302.18</v>
    <v>INX</v>
    <v>S&amp;P 500 INDEX</v>
  </rv>
  <rv s="2">
    <v>4</v>
  </rv>
  <rv s="0">
    <v>https://www.bing.com/financeapi/forcetrigger?t=a3oxnm&amp;q=NASDAQ+Composite+Index&amp;form=skydnc</v>
    <v>Learn more on Bing</v>
  </rv>
  <rv s="1">
    <v>en-HK</v>
    <v>a3oxnm</v>
    <v>268435456</v>
    <v>1</v>
    <v>Powered by Refinitiv</v>
    <v>0</v>
    <v>NASDAQ Composite Index</v>
    <v>2</v>
    <v>3</v>
    <v>Finance</v>
    <v>4</v>
    <v>16212.228999999999</v>
    <v>10565.135</v>
    <v>-75.14</v>
    <v>-5.7239999999999999E-3</v>
    <v>US</v>
    <v>13181.087</v>
    <v>Index</v>
    <v>6</v>
    <v>12979.24</v>
    <v>NASDAQ Composite Index</v>
    <v>13082.638000000001</v>
    <v>13128.053</v>
    <v>13052.913</v>
    <v>COMP</v>
    <v>NASDAQ Composite Index</v>
  </rv>
  <rv s="2">
    <v>7</v>
  </rv>
  <rv s="0">
    <v>https://www.bing.com/financeapi/forcetrigger?t=a1mou2&amp;q=XNAS%3aAAPL&amp;form=skydnc</v>
    <v>Learn more on Bing</v>
  </rv>
  <rv s="3">
    <v>en-HK</v>
    <v>a1mou2</v>
    <v>268435456</v>
    <v>1</v>
    <v>Powered by Refinitiv</v>
    <v>5</v>
    <v>APPLE INC. (XNAS:AAPL)</v>
    <v>6</v>
    <v>7</v>
    <v>Finance</v>
    <v>8</v>
    <v>182.94</v>
    <v>129.04</v>
    <v>1.2356</v>
    <v>-1.1299999999999999</v>
    <v>-6.5249999999999996E-3</v>
    <v>USD</v>
    <v>Apple Inc. (Apple) designs, manufactures and markets smartphones, personal computers, tablets, wearables and accessories and sells a range of related services. The Company’s products include iPhone, Mac, iPad, AirPods, Apple TV, Apple Watch, Beats products, HomePod, iPod touch and accessories. The Company operates various platforms, including the App Store, which allows customers to discover and download applications and digital content, such as books, music, video, games and podcasts. Apple offers digital content through subscription-based services, including Apple Arcade, Apple Music, Apple News+, Apple TV+ and Apple Fitness+. Apple also offers a range of other services, such as AppleCare, iCloud, Apple Card and Apple Pay. Apple sells its products and resells third-party products in a range of markets, including directly to consumers, small and mid-sized businesses, and education, enterprise and government customers through its retail and online stores and its direct sales force.</v>
    <v>154000</v>
    <v>Nasdaq Stock Market</v>
    <v>XNAS</v>
    <v>XNAS</v>
    <v>One Apple Park Way, CUPERTINO, CA, 95014 US</v>
    <v>173.71</v>
    <v>Computers, Phones &amp; Household Electronics</v>
    <v>Stock</v>
    <v>44789.785484814063</v>
    <v>9</v>
    <v>171.6618</v>
    <v>2765133245000</v>
    <v>APPLE INC.</v>
    <v>APPLE INC.</v>
    <v>172.62</v>
    <v>28.6172</v>
    <v>173.19</v>
    <v>172.06</v>
    <v>16070750000</v>
    <v>AAPL</v>
    <v>APPLE INC. (XNAS:AAPL)</v>
    <v>39363663</v>
    <v>69203050</v>
    <v>1977</v>
  </rv>
  <rv s="2">
    <v>10</v>
  </rv>
  <rv s="0">
    <v>http://en.wikipedia.org/wiki/Public_domain</v>
    <v>Public domain</v>
  </rv>
  <rv s="0">
    <v>https://en.wikipedia.org/wiki/Microsoft</v>
    <v>Wikipedia</v>
  </rv>
  <rv s="4">
    <v>12</v>
    <v>13</v>
  </rv>
  <rv s="5">
    <v>13</v>
    <v>https://www.bing.com/th?id=AMMS_e6e837c7bf3a77408619758b7447855a&amp;qlt=95</v>
    <v>14</v>
    <v>0</v>
    <v>https://www.bing.com/images/search?form=xlimg&amp;q=microsoft</v>
    <v>Image of MICROSOFT CORPORATION</v>
  </rv>
  <rv s="0">
    <v>https://www.bing.com/financeapi/forcetrigger?t=a1xzim&amp;q=XNAS%3aMSFT&amp;form=skydnc</v>
    <v>Learn more on Bing</v>
  </rv>
  <rv s="6">
    <v>en-HK</v>
    <v>a1xzim</v>
    <v>268435456</v>
    <v>1</v>
    <v>Powered by Refinitiv</v>
    <v>9</v>
    <v>MICROSOFT CORPORATION (XNAS:MSFT)</v>
    <v>11</v>
    <v>12</v>
    <v>Finance</v>
    <v>8</v>
    <v>349.67</v>
    <v>241.51</v>
    <v>0.92620000000000002</v>
    <v>-2.0152999999999999</v>
    <v>-6.8669999999999998E-3</v>
    <v>USD</v>
    <v>Microsoft Corporation is a technology company. The Company develops and supports software, services, devices, and solutions. Its segments include Productivity and Business Processes, Intelligent Cloud, and More Personal Computing. The Productivity and Business Processes segment consists of products and services in its portfolio of productivity, communication, and information services, spanning a variety of devices and platforms. This segment includes Office Consumer, LinkedIn, dynamics business solutions, and Office Commercial. The Intelligent Cloud segment consists of public, private, and hybrid server products and cloud services that can power modern businesses and developers. This segment includes server products and cloud services, and enterprise services. The More Personal Computing segment consists of products and services that put customers at the centre of the experience with its technology. This segment includes Windows, devices, gaming, and search and news advertising.</v>
    <v>221000</v>
    <v>Nasdaq Stock Market</v>
    <v>XNAS</v>
    <v>XNAS</v>
    <v>One Microsoft Way, REDMOND, WA, 98052-6399 US</v>
    <v>294.04000000000002</v>
    <v>15</v>
    <v>Software &amp; IT Services</v>
    <v>Stock</v>
    <v>44789.785525126565</v>
    <v>16</v>
    <v>290.42</v>
    <v>2173637675492</v>
    <v>MICROSOFT CORPORATION</v>
    <v>MICROSOFT CORPORATION</v>
    <v>291.79000000000002</v>
    <v>30.428000000000001</v>
    <v>293.47000000000003</v>
    <v>291.4547</v>
    <v>7457892000</v>
    <v>MSFT</v>
    <v>MICROSOFT CORPORATION (XNAS:MSFT)</v>
    <v>10734054</v>
    <v>25424910</v>
    <v>1993</v>
  </rv>
  <rv s="2">
    <v>17</v>
  </rv>
  <rv s="0">
    <v>https://www.bing.com/financeapi/forcetrigger?t=a1u3p2&amp;q=XNAS%3aGOOG&amp;form=skydnc</v>
    <v>Learn more on Bing</v>
  </rv>
  <rv s="3">
    <v>en-HK</v>
    <v>a1u3p2</v>
    <v>268435456</v>
    <v>1</v>
    <v>Powered by Refinitiv</v>
    <v>5</v>
    <v>ALPHABET INC. (XNAS:GOOG)</v>
    <v>6</v>
    <v>7</v>
    <v>Finance</v>
    <v>8</v>
    <v>152.1</v>
    <v>102.208</v>
    <v>1.0782</v>
    <v>-0.85</v>
    <v>-6.9169999999999995E-3</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Google's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enables developers to build, test, and deploy applications on its infrastructure. The Company's Google Workspace collaboration tools include applications, such as Gmail, Docs, Drive, Calendar, Meet, and various others. The Company also has various hardware products.</v>
    <v>174014</v>
    <v>Nasdaq Stock Market</v>
    <v>XNAS</v>
    <v>XNAS</v>
    <v>1600 Amphitheatre Pkwy, MOUNTAIN VIEW, CA, 94043-1351 US</v>
    <v>123.2276</v>
    <v>Software &amp; IT Services</v>
    <v>Stock</v>
    <v>44789.785541272657</v>
    <v>19</v>
    <v>121.535</v>
    <v>1597342000000</v>
    <v>ALPHABET INC.</v>
    <v>ALPHABET INC.</v>
    <v>122.21</v>
    <v>22.856999999999999</v>
    <v>122.88</v>
    <v>122.03</v>
    <v>13044000000</v>
    <v>GOOG</v>
    <v>ALPHABET INC. (XNAS:GOOG)</v>
    <v>10090198</v>
    <v>26129983</v>
    <v>2015</v>
  </rv>
  <rv s="2">
    <v>20</v>
  </rv>
  <rv s="0">
    <v>https://www.bing.com/financeapi/forcetrigger?t=af4d6h&amp;q=XFRA%3aAMZ&amp;form=skydnc</v>
    <v>Learn more on Bing</v>
  </rv>
  <rv s="3">
    <v>en-HK</v>
    <v>af4d6h</v>
    <v>268435456</v>
    <v>1</v>
    <v>Powered by Refinitiv</v>
    <v>5</v>
    <v>AMAZON.COM, INC. (XFRA:AMZ)</v>
    <v>6</v>
    <v>14</v>
    <v>Finance</v>
    <v>15</v>
    <v>3322.5</v>
    <v>97.08</v>
    <v>1.3285</v>
    <v>1.78</v>
    <v>1.2603E-2</v>
    <v>EUR</v>
    <v>Amazon.com, Inc. provides a range of products and services to customers. The products offered through its stores include merchandise and content that it purchased for resale and products offered by third-party sellers. It also manufactures and sells electronic devices, including Kindle, Fire tablet, Fire TV, Echo, and Ring, and it develops and produces media content. It operates through three segments: North America, International and Amazon Web Services (AWS). The AWS segment consists of global sales of compute, storage, database, and other services for start-ups, enterprises, government agencies, and academic institutions. It provides advertising services to sellers, vendors, publishers, authors, and others, through programs, such as sponsored advertisements, display, and video advertising. It serves consumers through its online and physical stores. Customers access its offerings through websites, mobile applications, Alexa, devices, streaming, and physically visiting its stores.</v>
    <v>1608000</v>
    <v>Deutsche Boerse AG</v>
    <v>XFRA</v>
    <v>XFRA</v>
    <v>410 Terry Ave N, SEATTLE, WA, 98109 US</v>
    <v>143.52000000000001</v>
    <v>Diversified Retail</v>
    <v>Stock</v>
    <v>44789.775000000001</v>
    <v>22</v>
    <v>139.68</v>
    <v>1458654000000</v>
    <v>AMAZON.COM, INC.</v>
    <v>AMAZON.COM, INC.</v>
    <v>140.30000000000001</v>
    <v>133.13</v>
    <v>141.24</v>
    <v>143.02000000000001</v>
    <v>10187550000</v>
    <v>AMZ</v>
    <v>AMAZON.COM, INC. (XFRA:AMZ)</v>
    <v>7629</v>
    <v>57189180</v>
    <v>1996</v>
  </rv>
  <rv s="2">
    <v>23</v>
  </rv>
  <rv s="0">
    <v>https://www.bing.com/financeapi/forcetrigger?t=a1slm7&amp;q=XNAS%3aMETA&amp;form=skydnc</v>
    <v>Learn more on Bing</v>
  </rv>
  <rv s="3">
    <v>en-HK</v>
    <v>a1slm7</v>
    <v>268435456</v>
    <v>1</v>
    <v>Powered by Refinitiv</v>
    <v>5</v>
    <v>Meta Platforms, Inc. (XNAS:META)</v>
    <v>6</v>
    <v>7</v>
    <v>Finance</v>
    <v>8</v>
    <v>384.33</v>
    <v>154.25</v>
    <v>1.3453999999999999</v>
    <v>-2.5499999999999998</v>
    <v>-1.4097E-2</v>
    <v>USD</v>
    <v>Meta Platforms Inc., formerly Facebook, Inc., builds technologies that help people find communities and grow businesses. The Company's products enable people to connect and share with friends and family through mobile devices, personal computers, virtual reality (VR) headsets, wearables, and in-home devices. The Company operates through two segments: Family of Apps (FoA) and Reality Labs (RL). FoA includes Facebook, Instagram, Messenger, WhatsApp, and other services. RL includes augmented and virtual reality-related consumer hardware, software, and content. Facebook enables people to connect, share, discover and communicate with each other on mobile devices and personal computers. Instagram is a place where people can express themselves through photos, videos, and private messaging, and connect with and shop from their favorite businesses and creators. Messenger is a messaging application for people to connect with friends, family, groups, and businesses across platforms and devices.</v>
    <v>83553</v>
    <v>Nasdaq Stock Market</v>
    <v>XNAS</v>
    <v>XNAS</v>
    <v>1601 Willow Rd, MENLO PARK, CA, 94025 US</v>
    <v>180.98</v>
    <v>Software &amp; IT Services</v>
    <v>Stock</v>
    <v>44789.785509652342</v>
    <v>25</v>
    <v>177.04900000000001</v>
    <v>479297488660</v>
    <v>Meta Platforms, Inc.</v>
    <v>Meta Platforms, Inc.</v>
    <v>179.31</v>
    <v>14.995799999999999</v>
    <v>180.89</v>
    <v>178.34</v>
    <v>2687549000</v>
    <v>META</v>
    <v>Meta Platforms, Inc. (XNAS:META)</v>
    <v>16270335</v>
    <v>29001742</v>
    <v>2004</v>
  </rv>
  <rv s="2">
    <v>26</v>
  </rv>
  <rv s="0">
    <v>https://www.bing.com/financeapi/forcetrigger?t=a24kar&amp;q=XNAS%3aTSLA&amp;form=skydnc</v>
    <v>Learn more on Bing</v>
  </rv>
  <rv s="3">
    <v>en-HK</v>
    <v>a24kar</v>
    <v>268435456</v>
    <v>1</v>
    <v>Powered by Refinitiv</v>
    <v>5</v>
    <v>TESLA, INC. (XNAS:TSLA)</v>
    <v>6</v>
    <v>7</v>
    <v>Finance</v>
    <v>8</v>
    <v>1243.49</v>
    <v>620.57000000000005</v>
    <v>2.1617000000000002</v>
    <v>-10.755000000000001</v>
    <v>-1.159E-2</v>
    <v>USD</v>
    <v>Tesla, Inc. designs, develops, manufactures, sells and leases fully electric vehicles and energy generation and storage systems, and offer services related to its products. The Company's automotive segment includes the design, development, manufacturing, sales, and leasing of electric vehicles as well as sales of automotive regulatory credits. Additionally, the automotive segment is also comprised of services and other, which includes non-warranty after-sales vehicle services, sales of used vehicles, retail merchandise, sales by its acquired subsidiaries to third party customers, and vehicle insurance. Its energy generation and storage segment includes the design, manufacture, installation, sales and leasing of solar energy generation and energy storage products and related services and sales of solar energy systems incentives. Its automotive products include Model 3, Model Y, Model S and Model X. Powerwall and Megapack are its lithium-ion battery energy storage products.</v>
    <v>99290</v>
    <v>Nasdaq Stock Market</v>
    <v>XNAS</v>
    <v>XNAS</v>
    <v>13101 Harold Green Road, AUSTIN, TX, 78725 US</v>
    <v>944</v>
    <v>Automobiles &amp; Auto Parts</v>
    <v>Stock</v>
    <v>44789.785523460159</v>
    <v>28</v>
    <v>908.65</v>
    <v>958011450450</v>
    <v>TESLA, INC.</v>
    <v>TESLA, INC.</v>
    <v>935</v>
    <v>111.384</v>
    <v>927.96</v>
    <v>917.20500000000004</v>
    <v>1044490000</v>
    <v>TSLA</v>
    <v>TESLA, INC. (XNAS:TSLA)</v>
    <v>25246954</v>
    <v>29717383</v>
    <v>2003</v>
  </rv>
  <rv s="2">
    <v>29</v>
  </rv>
</rvData>
</file>

<file path=xl/richData/rdrichvaluestructure.xml><?xml version="1.0" encoding="utf-8"?>
<rvStructures xmlns="http://schemas.microsoft.com/office/spreadsheetml/2017/richdata" count="7">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Change"/>
    <k n="Change (%)"/>
    <k n="Country/region" t="s"/>
    <k n="High"/>
    <k n="Instrument type" t="s"/>
    <k n="LearnMoreOnLink" t="r"/>
    <k n="Low"/>
    <k n="Name" t="s"/>
    <k n="Open"/>
    <k n="Previous close"/>
    <k n="Price"/>
    <k n="Ticker symbol" t="s"/>
    <k n="UniqueName" t="s"/>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3">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16">
    <spb s="0">
      <v>0</v>
      <v>Name</v>
      <v>LearnMoreOnLink</v>
    </spb>
    <spb s="1">
      <v>0</v>
      <v>0</v>
      <v>0</v>
    </spb>
    <spb s="2">
      <v>1</v>
      <v>1</v>
      <v>1</v>
    </spb>
    <spb s="3">
      <v>1</v>
      <v>1</v>
      <v>2</v>
      <v>1</v>
      <v>1</v>
      <v>1</v>
      <v>3</v>
      <v>1</v>
      <v>1</v>
      <v>1</v>
      <v>4</v>
    </spb>
    <spb s="4">
      <v>from previous close</v>
      <v>from previous close</v>
    </spb>
    <spb s="0">
      <v>1</v>
      <v>Name</v>
      <v>LearnMoreOnLink</v>
    </spb>
    <spb s="5">
      <v>1</v>
      <v>1</v>
      <v>1</v>
      <v>1</v>
    </spb>
    <spb s="6">
      <v>1</v>
      <v>5</v>
      <v>5</v>
      <v>1</v>
      <v>2</v>
      <v>1</v>
      <v>1</v>
      <v>1</v>
      <v>6</v>
      <v>6</v>
      <v>3</v>
      <v>7</v>
      <v>1</v>
      <v>1</v>
      <v>1</v>
      <v>6</v>
      <v>8</v>
      <v>9</v>
      <v>4</v>
      <v>6</v>
    </spb>
    <spb s="7">
      <v>Real-Time Nasdaq Last Sale</v>
      <v>from previous close</v>
      <v>from previous close</v>
      <v>Source: Nasdaq Last Sale</v>
      <v>GMT</v>
    </spb>
    <spb s="0">
      <v>2</v>
      <v>Name</v>
      <v>LearnMoreOnLink</v>
    </spb>
    <spb s="8">
      <v>0</v>
      <v>0</v>
    </spb>
    <spb s="9">
      <v>10</v>
      <v>1</v>
      <v>1</v>
      <v>1</v>
      <v>1</v>
    </spb>
    <spb s="10">
      <v>1</v>
      <v>5</v>
      <v>5</v>
      <v>1</v>
      <v>2</v>
      <v>1</v>
      <v>10</v>
      <v>1</v>
      <v>1</v>
      <v>6</v>
      <v>6</v>
      <v>3</v>
      <v>7</v>
      <v>1</v>
      <v>1</v>
      <v>1</v>
      <v>6</v>
      <v>8</v>
      <v>9</v>
      <v>4</v>
      <v>6</v>
    </spb>
    <spb s="11">
      <v>Powered by Refinitiv</v>
    </spb>
    <spb s="6">
      <v>11</v>
      <v>5</v>
      <v>5</v>
      <v>11</v>
      <v>2</v>
      <v>11</v>
      <v>11</v>
      <v>11</v>
      <v>6</v>
      <v>6</v>
      <v>3</v>
      <v>7</v>
      <v>11</v>
      <v>11</v>
      <v>11</v>
      <v>6</v>
      <v>8</v>
      <v>9</v>
      <v>4</v>
      <v>6</v>
    </spb>
    <spb s="12">
      <v>Delayed 15 minutes</v>
      <v>from previous close</v>
      <v>from previous close</v>
      <v>GMT</v>
    </spb>
  </spbData>
</supportingPropertyBags>
</file>

<file path=xl/richData/rdsupportingpropertybagstructure.xml><?xml version="1.0" encoding="utf-8"?>
<spbStructures xmlns="http://schemas.microsoft.com/office/spreadsheetml/2017/richdata2" count="13">
  <s>
    <k n="^Order" t="spba"/>
    <k n="TitleProperty" t="s"/>
    <k n="SubTitleProperty" t="s"/>
  </s>
  <s>
    <k n="ShowInCardView" t="b"/>
    <k n="ShowInDotNotation" t="b"/>
    <k n="ShowInAutoComplete" t="b"/>
  </s>
  <s>
    <k n="UniqueName" t="spb"/>
    <k n="`%ProviderInfo" t="spb"/>
    <k n="LearnMoreOnLink" t="spb"/>
  </s>
  <s>
    <k n="Low" t="i"/>
    <k n="High" t="i"/>
    <k n="Name" t="i"/>
    <k n="Open" t="i"/>
    <k n="Price" t="i"/>
    <k n="Change" t="i"/>
    <k n="Change (%)" t="i"/>
    <k n="52 week low" t="i"/>
    <k n="52 week high" t="i"/>
    <k n="Previous close" t="i"/>
    <k n="`%EntityServiceId" t="i"/>
  </s>
  <s>
    <k n="Change" t="s"/>
    <k n="Change (%)"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Price" t="s"/>
    <k n="Change" t="s"/>
    <k n="Change (%)"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14" formatCode="0.00%"/>
    </x:dxf>
    <x:dxf>
      <x:numFmt numFmtId="3" formatCode="#,##0"/>
    </x:dxf>
    <x:dxf>
      <x:numFmt numFmtId="27" formatCode="m/d/yyyy\ h:mm"/>
    </x:dxf>
    <x:dxf>
      <x:numFmt numFmtId="4" formatCode="#,##0.00"/>
    </x:dxf>
    <x:dxf>
      <x:numFmt numFmtId="1" formatCode="0"/>
    </x:dxf>
  </dxfs>
  <richProperties>
    <rPr n="NumberFormat" t="s"/>
    <rPr n="IsTitleField" t="b"/>
    <rPr n="IsHeroField" t="b"/>
  </richProperties>
  <richStyles>
    <rSty dxfid="1">
      <rpv i="0">_([$$-en-US]* #,##0.00_);_([$$-en-US]* (#,##0.00);_([$$-en-US]* "-"??_);_(@_)</rpv>
    </rSty>
    <rSty>
      <rpv i="1">1</rpv>
    </rSty>
    <rSty dxfid="2"/>
    <rSty dxfid="0">
      <rpv i="0">0.00</rpv>
    </rSty>
    <rSty dxfid="5">
      <rpv i="0">#,##0.00</rpv>
    </rSty>
    <rSty dxfid="3">
      <rpv i="0">#,##0</rpv>
    </rSty>
    <rSty dxfid="1">
      <rpv i="0">_([$$-en-US]* #,##0_);_([$$-en-US]* (#,##0);_([$$-en-US]* "-"_);_(@_)</rpv>
    </rSty>
    <rSty dxfid="4"/>
    <rSty dxfid="6">
      <rpv i="0">0</rpv>
    </rSty>
    <rSty>
      <rpv i="2">1</rpv>
    </rSty>
    <rSty dxfid="1">
      <rpv i="0">_([$€-x-euro2] * #,##0.00_);_([$€-x-euro2] * (#,##0.00);_([$€-x-euro2] *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N75"/>
  <sheetViews>
    <sheetView tabSelected="1" zoomScale="115" zoomScaleNormal="115" workbookViewId="0">
      <selection activeCell="J4" sqref="J4"/>
    </sheetView>
  </sheetViews>
  <sheetFormatPr defaultColWidth="9.109375" defaultRowHeight="14.4" x14ac:dyDescent="0.3"/>
  <cols>
    <col min="1" max="1" width="1.33203125" style="1" customWidth="1"/>
    <col min="2" max="2" width="14.6640625" style="1" customWidth="1"/>
    <col min="3" max="3" width="12.6640625" style="1" customWidth="1"/>
    <col min="4" max="4" width="3.6640625" style="1" bestFit="1" customWidth="1"/>
    <col min="5" max="6" width="14.6640625" style="1" customWidth="1"/>
    <col min="7" max="7" width="12.6640625" style="1" customWidth="1"/>
    <col min="8" max="8" width="3.6640625" style="1" bestFit="1" customWidth="1"/>
    <col min="9" max="10" width="14.6640625" style="1" customWidth="1"/>
    <col min="11" max="11" width="12.6640625" style="1" customWidth="1"/>
    <col min="12" max="12" width="3.6640625" style="1" bestFit="1" customWidth="1"/>
    <col min="13" max="13" width="14.6640625" style="1" customWidth="1"/>
    <col min="14" max="15" width="16.44140625" style="1" customWidth="1"/>
    <col min="16" max="16" width="2.88671875" style="1" bestFit="1" customWidth="1"/>
    <col min="17" max="17" width="7.33203125" style="1" bestFit="1" customWidth="1"/>
    <col min="18" max="18" width="3" style="1" bestFit="1" customWidth="1"/>
    <col min="19" max="19" width="7.6640625" style="1" bestFit="1" customWidth="1"/>
    <col min="20" max="20" width="2.5546875" style="1" bestFit="1" customWidth="1"/>
    <col min="21" max="21" width="7.33203125" style="1" bestFit="1" customWidth="1"/>
    <col min="22" max="22" width="2.6640625" style="1" bestFit="1" customWidth="1"/>
    <col min="23" max="23" width="7.33203125" style="1" bestFit="1" customWidth="1"/>
    <col min="24" max="24" width="14.6640625" style="1" customWidth="1"/>
    <col min="25" max="25" width="1.33203125" style="1" customWidth="1"/>
    <col min="26" max="26" width="19.5546875" style="1" customWidth="1"/>
    <col min="27" max="92" width="9.109375" style="5"/>
    <col min="93" max="16384" width="9.109375" style="1"/>
  </cols>
  <sheetData>
    <row r="1" spans="1:27" s="18" customFormat="1" ht="3" customHeight="1" x14ac:dyDescent="0.3"/>
    <row r="2" spans="1:27" x14ac:dyDescent="0.3">
      <c r="A2" s="18"/>
      <c r="B2" s="21" t="s">
        <v>11</v>
      </c>
      <c r="C2" s="22" t="s">
        <v>12</v>
      </c>
      <c r="D2" s="22"/>
      <c r="E2" s="18"/>
      <c r="F2" s="18"/>
      <c r="G2" s="18"/>
      <c r="H2" s="22"/>
      <c r="I2" s="18"/>
      <c r="J2" s="18"/>
      <c r="K2" s="18"/>
      <c r="L2" s="22"/>
      <c r="M2" s="18"/>
      <c r="N2" s="18"/>
      <c r="O2" s="18"/>
      <c r="P2" s="18"/>
      <c r="Q2" s="18"/>
      <c r="R2" s="18"/>
      <c r="S2" s="18"/>
      <c r="T2" s="18"/>
      <c r="U2" s="18"/>
      <c r="V2" s="18"/>
      <c r="W2" s="18"/>
      <c r="X2" s="18"/>
      <c r="Y2" s="18"/>
      <c r="Z2" s="18"/>
    </row>
    <row r="3" spans="1:27" s="18" customFormat="1" ht="17.25" customHeight="1" x14ac:dyDescent="0.3">
      <c r="P3" s="19"/>
      <c r="Q3" s="20"/>
      <c r="R3" s="20"/>
      <c r="S3" s="20"/>
      <c r="T3" s="20"/>
      <c r="U3" s="20"/>
      <c r="V3" s="20"/>
      <c r="W3" s="20"/>
      <c r="X3" s="20"/>
      <c r="Y3" s="20"/>
      <c r="Z3" s="20"/>
      <c r="AA3" s="17"/>
    </row>
    <row r="4" spans="1:27" s="18" customFormat="1" ht="26.25" customHeight="1" x14ac:dyDescent="0.3">
      <c r="P4" s="19"/>
      <c r="Q4" s="19"/>
      <c r="R4" s="28" t="e" cm="1">
        <f t="array" ref="R4">LOOKUP(2,1/(#REF!&lt;&gt;""),#REF!)</f>
        <v>#REF!</v>
      </c>
      <c r="S4" s="28"/>
      <c r="T4" s="29" t="e" cm="1">
        <f t="array" ref="T4">LOOKUP(2,1/(#REF!&lt;&gt;""),#REF!)</f>
        <v>#REF!</v>
      </c>
      <c r="U4" s="29"/>
      <c r="V4" s="29"/>
      <c r="W4" s="29"/>
      <c r="X4" s="14"/>
      <c r="Y4" s="14"/>
      <c r="Z4" s="14"/>
    </row>
    <row r="5" spans="1:27" s="5" customFormat="1" ht="5.0999999999999996" customHeight="1" x14ac:dyDescent="0.3">
      <c r="A5" s="13"/>
      <c r="B5" s="13"/>
      <c r="C5" s="13"/>
      <c r="D5" s="13"/>
      <c r="E5" s="13"/>
      <c r="F5" s="13"/>
      <c r="G5" s="13"/>
      <c r="H5" s="13"/>
      <c r="I5" s="13"/>
      <c r="J5" s="13"/>
      <c r="K5" s="13"/>
      <c r="L5" s="13"/>
      <c r="M5" s="13"/>
      <c r="N5" s="13"/>
      <c r="O5" s="13"/>
      <c r="P5" s="13"/>
      <c r="Q5" s="13"/>
      <c r="R5" s="13"/>
      <c r="S5" s="13"/>
      <c r="T5" s="13"/>
      <c r="U5" s="13"/>
      <c r="V5" s="13"/>
      <c r="W5" s="13"/>
      <c r="X5" s="13"/>
      <c r="Y5" s="13"/>
    </row>
    <row r="6" spans="1:27" ht="20.399999999999999" x14ac:dyDescent="0.35">
      <c r="A6" s="13"/>
      <c r="B6" s="2"/>
      <c r="C6" s="3"/>
      <c r="D6" s="3"/>
      <c r="E6" s="6" t="s">
        <v>4</v>
      </c>
      <c r="F6" s="27" t="e">
        <f>W6</f>
        <v>#REF!</v>
      </c>
      <c r="G6" s="27"/>
      <c r="H6" s="3"/>
      <c r="I6" s="3"/>
      <c r="J6" s="27"/>
      <c r="K6" s="27"/>
      <c r="L6" s="3"/>
      <c r="M6" s="3"/>
      <c r="N6" s="3"/>
      <c r="O6" s="7"/>
      <c r="P6" s="8" t="s">
        <v>0</v>
      </c>
      <c r="Q6" s="9" t="e" cm="1">
        <f t="array" ref="Q6">LOOKUP(2,1/(#REF!&lt;&gt;""),#REF!)</f>
        <v>#REF!</v>
      </c>
      <c r="R6" s="8" t="s">
        <v>1</v>
      </c>
      <c r="S6" s="9" t="e" cm="1">
        <f t="array" ref="S6">LOOKUP(2,1/(#REF!&lt;&gt;""),#REF!)</f>
        <v>#REF!</v>
      </c>
      <c r="T6" s="8" t="s">
        <v>2</v>
      </c>
      <c r="U6" s="9" t="e" cm="1">
        <f t="array" ref="U6">LOOKUP(2,1/(#REF!&lt;&gt;""),#REF!)</f>
        <v>#REF!</v>
      </c>
      <c r="V6" s="8" t="s">
        <v>3</v>
      </c>
      <c r="W6" s="9" t="e" cm="1">
        <f t="array" ref="W6">LOOKUP(2,1/(#REF!&lt;&gt;""),#REF!)</f>
        <v>#REF!</v>
      </c>
      <c r="X6" s="4"/>
      <c r="Y6" s="13"/>
      <c r="Z6" s="5"/>
    </row>
    <row r="7" spans="1:27" x14ac:dyDescent="0.3">
      <c r="A7" s="13"/>
      <c r="B7" s="3"/>
      <c r="C7" s="3"/>
      <c r="D7" s="3"/>
      <c r="E7" s="3"/>
      <c r="F7" s="3"/>
      <c r="G7" s="3"/>
      <c r="H7" s="3"/>
      <c r="I7" s="3"/>
      <c r="J7" s="3"/>
      <c r="K7" s="3"/>
      <c r="L7" s="3"/>
      <c r="M7" s="3"/>
      <c r="N7" s="3"/>
      <c r="O7" s="3"/>
      <c r="P7" s="3"/>
      <c r="Q7" s="3"/>
      <c r="R7" s="3"/>
      <c r="S7" s="3"/>
      <c r="T7" s="3"/>
      <c r="U7" s="3"/>
      <c r="V7" s="3"/>
      <c r="W7" s="3"/>
      <c r="X7" s="3"/>
      <c r="Y7" s="13"/>
      <c r="Z7" s="5"/>
    </row>
    <row r="8" spans="1:27" x14ac:dyDescent="0.3">
      <c r="A8" s="13"/>
      <c r="B8" s="3"/>
      <c r="C8" s="3"/>
      <c r="D8" s="3"/>
      <c r="E8" s="3"/>
      <c r="F8" s="3"/>
      <c r="G8" s="3"/>
      <c r="H8" s="3"/>
      <c r="I8" s="3"/>
      <c r="J8" s="3"/>
      <c r="K8" s="3"/>
      <c r="L8" s="3"/>
      <c r="M8" s="3"/>
      <c r="N8" s="3"/>
      <c r="O8" s="3"/>
      <c r="P8" s="3"/>
      <c r="Q8" s="3"/>
      <c r="R8" s="3"/>
      <c r="S8" s="3"/>
      <c r="T8" s="3"/>
      <c r="U8" s="3"/>
      <c r="V8" s="3"/>
      <c r="W8" s="3"/>
      <c r="X8" s="3"/>
      <c r="Y8" s="13"/>
      <c r="Z8" s="5"/>
    </row>
    <row r="9" spans="1:27" x14ac:dyDescent="0.3">
      <c r="A9" s="13"/>
      <c r="B9" s="3"/>
      <c r="C9" s="3"/>
      <c r="D9" s="3"/>
      <c r="E9" s="3"/>
      <c r="F9" s="3"/>
      <c r="G9" s="3"/>
      <c r="H9" s="3"/>
      <c r="I9" s="3"/>
      <c r="J9" s="3"/>
      <c r="K9" s="3"/>
      <c r="L9" s="3"/>
      <c r="M9" s="3"/>
      <c r="N9" s="3"/>
      <c r="O9" s="3"/>
      <c r="P9" s="3"/>
      <c r="Q9" s="3"/>
      <c r="R9" s="3"/>
      <c r="S9" s="3"/>
      <c r="T9" s="3"/>
      <c r="U9" s="3"/>
      <c r="V9" s="3"/>
      <c r="W9" s="3"/>
      <c r="X9" s="3"/>
      <c r="Y9" s="13"/>
      <c r="Z9" s="5"/>
    </row>
    <row r="10" spans="1:27" x14ac:dyDescent="0.3">
      <c r="A10" s="13"/>
      <c r="B10" s="3"/>
      <c r="C10" s="3"/>
      <c r="D10" s="3"/>
      <c r="E10" s="3"/>
      <c r="F10" s="3"/>
      <c r="G10" s="3"/>
      <c r="H10" s="3"/>
      <c r="I10" s="3"/>
      <c r="J10" s="3"/>
      <c r="K10" s="3"/>
      <c r="L10" s="3"/>
      <c r="M10" s="3"/>
      <c r="N10" s="3"/>
      <c r="O10" s="3"/>
      <c r="P10" s="3"/>
      <c r="Q10" s="3"/>
      <c r="R10" s="3"/>
      <c r="S10" s="3"/>
      <c r="T10" s="3"/>
      <c r="U10" s="3"/>
      <c r="V10" s="3"/>
      <c r="W10" s="3"/>
      <c r="X10" s="3"/>
      <c r="Y10" s="13"/>
      <c r="Z10" s="5"/>
    </row>
    <row r="11" spans="1:27" x14ac:dyDescent="0.3">
      <c r="A11" s="13"/>
      <c r="B11" s="3"/>
      <c r="C11" s="3"/>
      <c r="D11" s="3"/>
      <c r="E11" s="3"/>
      <c r="F11" s="3"/>
      <c r="G11" s="3"/>
      <c r="H11" s="3"/>
      <c r="I11" s="3"/>
      <c r="J11" s="3"/>
      <c r="K11" s="3"/>
      <c r="L11" s="3"/>
      <c r="M11" s="3"/>
      <c r="N11" s="3"/>
      <c r="O11" s="3"/>
      <c r="P11" s="3"/>
      <c r="Q11" s="3"/>
      <c r="R11" s="3"/>
      <c r="S11" s="3"/>
      <c r="T11" s="3"/>
      <c r="U11" s="3"/>
      <c r="V11" s="3"/>
      <c r="W11" s="3"/>
      <c r="X11" s="3"/>
      <c r="Y11" s="13"/>
      <c r="Z11" s="5"/>
    </row>
    <row r="12" spans="1:27" x14ac:dyDescent="0.3">
      <c r="A12" s="13"/>
      <c r="B12" s="3"/>
      <c r="C12" s="3"/>
      <c r="D12" s="3"/>
      <c r="E12" s="3"/>
      <c r="F12" s="3"/>
      <c r="G12" s="3"/>
      <c r="H12" s="3"/>
      <c r="I12" s="3"/>
      <c r="J12" s="3"/>
      <c r="K12" s="3"/>
      <c r="L12" s="3"/>
      <c r="M12" s="3"/>
      <c r="N12" s="3"/>
      <c r="O12" s="3"/>
      <c r="P12" s="3"/>
      <c r="Q12" s="3"/>
      <c r="R12" s="3"/>
      <c r="S12" s="3"/>
      <c r="T12" s="3"/>
      <c r="U12" s="3"/>
      <c r="V12" s="3"/>
      <c r="W12" s="3"/>
      <c r="X12" s="3"/>
      <c r="Y12" s="13"/>
      <c r="Z12" s="5"/>
    </row>
    <row r="13" spans="1:27" x14ac:dyDescent="0.3">
      <c r="A13" s="13"/>
      <c r="B13" s="3"/>
      <c r="C13" s="3"/>
      <c r="D13" s="3"/>
      <c r="E13" s="3"/>
      <c r="F13" s="3"/>
      <c r="G13" s="3"/>
      <c r="H13" s="3"/>
      <c r="I13" s="3"/>
      <c r="J13" s="3"/>
      <c r="K13" s="3"/>
      <c r="L13" s="3"/>
      <c r="M13" s="3"/>
      <c r="N13" s="3"/>
      <c r="O13" s="3"/>
      <c r="P13" s="3"/>
      <c r="Q13" s="3"/>
      <c r="R13" s="3"/>
      <c r="S13" s="3"/>
      <c r="T13" s="3"/>
      <c r="U13" s="3"/>
      <c r="V13" s="3"/>
      <c r="W13" s="3"/>
      <c r="X13" s="3"/>
      <c r="Y13" s="13"/>
      <c r="Z13" s="5"/>
    </row>
    <row r="14" spans="1:27" x14ac:dyDescent="0.3">
      <c r="A14" s="13"/>
      <c r="B14" s="3"/>
      <c r="C14" s="3"/>
      <c r="D14" s="3"/>
      <c r="E14" s="3"/>
      <c r="F14" s="3"/>
      <c r="G14" s="3"/>
      <c r="H14" s="3"/>
      <c r="I14" s="3"/>
      <c r="J14" s="3"/>
      <c r="K14" s="3"/>
      <c r="L14" s="3"/>
      <c r="M14" s="3"/>
      <c r="N14" s="3"/>
      <c r="O14" s="3"/>
      <c r="P14" s="3"/>
      <c r="Q14" s="3"/>
      <c r="R14" s="3"/>
      <c r="S14" s="3"/>
      <c r="T14" s="3"/>
      <c r="U14" s="3"/>
      <c r="V14" s="3"/>
      <c r="W14" s="3"/>
      <c r="X14" s="3"/>
      <c r="Y14" s="13"/>
      <c r="Z14" s="5"/>
    </row>
    <row r="15" spans="1:27" x14ac:dyDescent="0.3">
      <c r="A15" s="13"/>
      <c r="B15" s="3"/>
      <c r="C15" s="3"/>
      <c r="D15" s="3"/>
      <c r="E15" s="3"/>
      <c r="F15" s="3"/>
      <c r="G15" s="3"/>
      <c r="H15" s="3"/>
      <c r="I15" s="3"/>
      <c r="J15" s="3"/>
      <c r="K15" s="3"/>
      <c r="L15" s="3"/>
      <c r="M15" s="3"/>
      <c r="N15" s="3"/>
      <c r="O15" s="3"/>
      <c r="P15" s="3"/>
      <c r="Q15" s="3"/>
      <c r="R15" s="3"/>
      <c r="S15" s="3"/>
      <c r="T15" s="3"/>
      <c r="U15" s="3"/>
      <c r="V15" s="3"/>
      <c r="W15" s="3"/>
      <c r="X15" s="3"/>
      <c r="Y15" s="13"/>
      <c r="Z15" s="5"/>
    </row>
    <row r="16" spans="1:27" x14ac:dyDescent="0.3">
      <c r="A16" s="13"/>
      <c r="B16" s="3"/>
      <c r="C16" s="3"/>
      <c r="D16" s="3"/>
      <c r="E16" s="3"/>
      <c r="F16" s="3"/>
      <c r="G16" s="3"/>
      <c r="H16" s="3"/>
      <c r="I16" s="3"/>
      <c r="J16" s="3"/>
      <c r="K16" s="3"/>
      <c r="L16" s="3"/>
      <c r="M16" s="3"/>
      <c r="N16" s="3"/>
      <c r="O16" s="3"/>
      <c r="P16" s="3"/>
      <c r="Q16" s="3"/>
      <c r="R16" s="3"/>
      <c r="S16" s="3"/>
      <c r="T16" s="3"/>
      <c r="U16" s="3"/>
      <c r="V16" s="3"/>
      <c r="W16" s="3"/>
      <c r="X16" s="3"/>
      <c r="Y16" s="13"/>
      <c r="Z16" s="5"/>
    </row>
    <row r="17" spans="1:26" x14ac:dyDescent="0.3">
      <c r="A17" s="13"/>
      <c r="B17" s="3"/>
      <c r="C17" s="3"/>
      <c r="D17" s="3"/>
      <c r="E17" s="3"/>
      <c r="F17" s="3"/>
      <c r="G17" s="3"/>
      <c r="H17" s="3"/>
      <c r="I17" s="3"/>
      <c r="J17" s="3"/>
      <c r="K17" s="3"/>
      <c r="L17" s="3"/>
      <c r="M17" s="3"/>
      <c r="N17" s="3"/>
      <c r="O17" s="3"/>
      <c r="P17" s="3"/>
      <c r="Q17" s="3"/>
      <c r="R17" s="3"/>
      <c r="S17" s="3"/>
      <c r="T17" s="3"/>
      <c r="U17" s="3"/>
      <c r="V17" s="3"/>
      <c r="W17" s="3"/>
      <c r="X17" s="3"/>
      <c r="Y17" s="13"/>
      <c r="Z17" s="5"/>
    </row>
    <row r="18" spans="1:26" x14ac:dyDescent="0.3">
      <c r="A18" s="13"/>
      <c r="B18" s="3"/>
      <c r="C18" s="3"/>
      <c r="D18" s="3"/>
      <c r="E18" s="3"/>
      <c r="F18" s="3"/>
      <c r="G18" s="3"/>
      <c r="H18" s="3"/>
      <c r="I18" s="3"/>
      <c r="J18" s="3"/>
      <c r="K18" s="3"/>
      <c r="L18" s="3"/>
      <c r="M18" s="3"/>
      <c r="N18" s="3"/>
      <c r="O18" s="3"/>
      <c r="P18" s="3"/>
      <c r="Q18" s="3"/>
      <c r="R18" s="3"/>
      <c r="S18" s="3"/>
      <c r="T18" s="3"/>
      <c r="U18" s="3"/>
      <c r="V18" s="3"/>
      <c r="W18" s="3"/>
      <c r="X18" s="3"/>
      <c r="Y18" s="13"/>
      <c r="Z18" s="5"/>
    </row>
    <row r="19" spans="1:26" x14ac:dyDescent="0.3">
      <c r="A19" s="13"/>
      <c r="B19" s="3"/>
      <c r="C19" s="3"/>
      <c r="D19" s="3"/>
      <c r="E19" s="3"/>
      <c r="F19" s="3"/>
      <c r="G19" s="3"/>
      <c r="H19" s="3"/>
      <c r="I19" s="3"/>
      <c r="J19" s="3"/>
      <c r="K19" s="3"/>
      <c r="L19" s="3"/>
      <c r="M19" s="3"/>
      <c r="N19" s="3"/>
      <c r="O19" s="3"/>
      <c r="P19" s="3"/>
      <c r="Q19" s="3"/>
      <c r="R19" s="3"/>
      <c r="S19" s="3"/>
      <c r="T19" s="3"/>
      <c r="U19" s="3"/>
      <c r="V19" s="3"/>
      <c r="W19" s="3"/>
      <c r="X19" s="3"/>
      <c r="Y19" s="13"/>
      <c r="Z19" s="5"/>
    </row>
    <row r="20" spans="1:26" x14ac:dyDescent="0.3">
      <c r="A20" s="13"/>
      <c r="B20" s="3"/>
      <c r="C20" s="3"/>
      <c r="D20" s="3"/>
      <c r="E20" s="3"/>
      <c r="F20" s="3"/>
      <c r="G20" s="3"/>
      <c r="H20" s="3"/>
      <c r="I20" s="3"/>
      <c r="J20" s="3"/>
      <c r="K20" s="3"/>
      <c r="L20" s="3"/>
      <c r="M20" s="3"/>
      <c r="N20" s="3"/>
      <c r="O20" s="3"/>
      <c r="P20" s="3"/>
      <c r="Q20" s="3"/>
      <c r="R20" s="3"/>
      <c r="S20" s="3"/>
      <c r="T20" s="3"/>
      <c r="U20" s="3"/>
      <c r="V20" s="3"/>
      <c r="W20" s="3"/>
      <c r="X20" s="3"/>
      <c r="Y20" s="13"/>
      <c r="Z20" s="5"/>
    </row>
    <row r="21" spans="1:26" x14ac:dyDescent="0.3">
      <c r="A21" s="13"/>
      <c r="B21" s="3"/>
      <c r="C21" s="3"/>
      <c r="D21" s="3"/>
      <c r="E21" s="3"/>
      <c r="F21" s="3"/>
      <c r="G21" s="3"/>
      <c r="H21" s="3"/>
      <c r="I21" s="3"/>
      <c r="J21" s="3"/>
      <c r="K21" s="3"/>
      <c r="L21" s="3"/>
      <c r="M21" s="3"/>
      <c r="N21" s="3"/>
      <c r="O21" s="3"/>
      <c r="P21" s="3"/>
      <c r="Q21" s="3"/>
      <c r="R21" s="3"/>
      <c r="S21" s="3"/>
      <c r="T21" s="3"/>
      <c r="U21" s="3"/>
      <c r="V21" s="3"/>
      <c r="W21" s="3"/>
      <c r="X21" s="3"/>
      <c r="Y21" s="13"/>
      <c r="Z21" s="5"/>
    </row>
    <row r="22" spans="1:26" x14ac:dyDescent="0.3">
      <c r="A22" s="13"/>
      <c r="B22" s="3"/>
      <c r="C22" s="3"/>
      <c r="D22" s="3"/>
      <c r="E22" s="3"/>
      <c r="F22" s="3"/>
      <c r="G22" s="3"/>
      <c r="H22" s="3"/>
      <c r="I22" s="3"/>
      <c r="J22" s="3"/>
      <c r="K22" s="3"/>
      <c r="L22" s="3"/>
      <c r="M22" s="3"/>
      <c r="N22" s="3"/>
      <c r="O22" s="3"/>
      <c r="P22" s="3"/>
      <c r="Q22" s="3"/>
      <c r="R22" s="3"/>
      <c r="S22" s="3"/>
      <c r="T22" s="3"/>
      <c r="U22" s="3"/>
      <c r="V22" s="3"/>
      <c r="W22" s="3"/>
      <c r="X22" s="3"/>
      <c r="Y22" s="13"/>
      <c r="Z22" s="5"/>
    </row>
    <row r="23" spans="1:26" x14ac:dyDescent="0.3">
      <c r="A23" s="13"/>
      <c r="B23" s="3"/>
      <c r="C23" s="3"/>
      <c r="D23" s="3"/>
      <c r="E23" s="3"/>
      <c r="F23" s="3"/>
      <c r="G23" s="3"/>
      <c r="H23" s="3"/>
      <c r="I23" s="3"/>
      <c r="J23" s="3"/>
      <c r="K23" s="3"/>
      <c r="L23" s="3"/>
      <c r="M23" s="3"/>
      <c r="N23" s="3"/>
      <c r="O23" s="3"/>
      <c r="P23" s="3"/>
      <c r="Q23" s="3"/>
      <c r="R23" s="3"/>
      <c r="S23" s="3"/>
      <c r="T23" s="3"/>
      <c r="U23" s="3"/>
      <c r="V23" s="3"/>
      <c r="W23" s="3"/>
      <c r="X23" s="3"/>
      <c r="Y23" s="13"/>
      <c r="Z23" s="5"/>
    </row>
    <row r="24" spans="1:26" x14ac:dyDescent="0.3">
      <c r="A24" s="13"/>
      <c r="B24" s="3"/>
      <c r="C24" s="3"/>
      <c r="D24" s="3"/>
      <c r="E24" s="3"/>
      <c r="F24" s="3"/>
      <c r="G24" s="3"/>
      <c r="H24" s="3"/>
      <c r="I24" s="3"/>
      <c r="J24" s="3"/>
      <c r="K24" s="3"/>
      <c r="L24" s="3"/>
      <c r="M24" s="3"/>
      <c r="N24" s="3"/>
      <c r="O24" s="3"/>
      <c r="P24" s="3"/>
      <c r="Q24" s="3"/>
      <c r="R24" s="3"/>
      <c r="S24" s="3"/>
      <c r="T24" s="3"/>
      <c r="U24" s="3"/>
      <c r="V24" s="3"/>
      <c r="W24" s="3"/>
      <c r="X24" s="3"/>
      <c r="Y24" s="13"/>
      <c r="Z24" s="5"/>
    </row>
    <row r="25" spans="1:26" x14ac:dyDescent="0.3">
      <c r="A25" s="13"/>
      <c r="B25" s="3"/>
      <c r="C25" s="3"/>
      <c r="D25" s="3"/>
      <c r="E25" s="3"/>
      <c r="F25" s="3"/>
      <c r="G25" s="3"/>
      <c r="H25" s="3"/>
      <c r="I25" s="3"/>
      <c r="J25" s="3"/>
      <c r="K25" s="3"/>
      <c r="L25" s="3"/>
      <c r="M25" s="3"/>
      <c r="N25" s="3"/>
      <c r="O25" s="3"/>
      <c r="P25" s="3"/>
      <c r="Q25" s="3"/>
      <c r="R25" s="3"/>
      <c r="S25" s="3"/>
      <c r="T25" s="3"/>
      <c r="U25" s="3"/>
      <c r="V25" s="3"/>
      <c r="W25" s="3"/>
      <c r="X25" s="3"/>
      <c r="Y25" s="13"/>
      <c r="Z25" s="5"/>
    </row>
    <row r="26" spans="1:26" x14ac:dyDescent="0.3">
      <c r="A26" s="13"/>
      <c r="B26" s="3"/>
      <c r="C26" s="3"/>
      <c r="D26" s="3"/>
      <c r="E26" s="3"/>
      <c r="F26" s="3"/>
      <c r="G26" s="3"/>
      <c r="H26" s="3"/>
      <c r="I26" s="3"/>
      <c r="J26" s="3"/>
      <c r="K26" s="3"/>
      <c r="L26" s="3"/>
      <c r="M26" s="3"/>
      <c r="N26" s="3"/>
      <c r="O26" s="3"/>
      <c r="P26" s="3"/>
      <c r="Q26" s="3"/>
      <c r="R26" s="3"/>
      <c r="S26" s="3"/>
      <c r="T26" s="3"/>
      <c r="U26" s="3"/>
      <c r="V26" s="3"/>
      <c r="W26" s="3"/>
      <c r="X26" s="3"/>
      <c r="Y26" s="13"/>
      <c r="Z26" s="5"/>
    </row>
    <row r="27" spans="1:26" x14ac:dyDescent="0.3">
      <c r="A27" s="13"/>
      <c r="B27" s="3"/>
      <c r="C27" s="3"/>
      <c r="D27" s="3"/>
      <c r="E27" s="3"/>
      <c r="F27" s="3"/>
      <c r="G27" s="3"/>
      <c r="H27" s="3"/>
      <c r="I27" s="3"/>
      <c r="J27" s="3"/>
      <c r="K27" s="3"/>
      <c r="L27" s="3"/>
      <c r="M27" s="3"/>
      <c r="N27" s="3"/>
      <c r="O27" s="3"/>
      <c r="P27" s="3"/>
      <c r="Q27" s="3"/>
      <c r="R27" s="3"/>
      <c r="S27" s="3"/>
      <c r="T27" s="3"/>
      <c r="U27" s="3"/>
      <c r="V27" s="3"/>
      <c r="W27" s="3"/>
      <c r="X27" s="3"/>
      <c r="Y27" s="13"/>
      <c r="Z27" s="5"/>
    </row>
    <row r="28" spans="1:26" x14ac:dyDescent="0.3">
      <c r="A28" s="13"/>
      <c r="B28" s="3"/>
      <c r="C28" s="3"/>
      <c r="D28" s="3"/>
      <c r="E28" s="3"/>
      <c r="F28" s="3"/>
      <c r="G28" s="3"/>
      <c r="H28" s="3"/>
      <c r="I28" s="3"/>
      <c r="J28" s="3"/>
      <c r="K28" s="3"/>
      <c r="L28" s="3"/>
      <c r="M28" s="3"/>
      <c r="N28" s="3"/>
      <c r="O28" s="3"/>
      <c r="P28" s="3"/>
      <c r="Q28" s="3"/>
      <c r="R28" s="3"/>
      <c r="S28" s="3"/>
      <c r="T28" s="3"/>
      <c r="U28" s="3"/>
      <c r="V28" s="3"/>
      <c r="W28" s="3"/>
      <c r="X28" s="3"/>
      <c r="Y28" s="13"/>
      <c r="Z28" s="5"/>
    </row>
    <row r="29" spans="1:26" x14ac:dyDescent="0.3">
      <c r="A29" s="13"/>
      <c r="B29" s="3"/>
      <c r="C29" s="3"/>
      <c r="D29" s="3"/>
      <c r="E29" s="3"/>
      <c r="F29" s="3"/>
      <c r="G29" s="3"/>
      <c r="H29" s="3"/>
      <c r="I29" s="3"/>
      <c r="J29" s="3"/>
      <c r="K29" s="3"/>
      <c r="L29" s="3"/>
      <c r="M29" s="3"/>
      <c r="N29" s="3"/>
      <c r="O29" s="3"/>
      <c r="P29" s="3"/>
      <c r="Q29" s="3"/>
      <c r="R29" s="3"/>
      <c r="S29" s="3"/>
      <c r="T29" s="3"/>
      <c r="U29" s="3"/>
      <c r="V29" s="3"/>
      <c r="W29" s="3"/>
      <c r="X29" s="3"/>
      <c r="Y29" s="13"/>
      <c r="Z29" s="5"/>
    </row>
    <row r="30" spans="1:26" x14ac:dyDescent="0.3">
      <c r="A30" s="13"/>
      <c r="B30" s="3"/>
      <c r="C30" s="3"/>
      <c r="D30" s="3"/>
      <c r="E30" s="3"/>
      <c r="F30" s="3"/>
      <c r="G30" s="3"/>
      <c r="H30" s="3"/>
      <c r="I30" s="3"/>
      <c r="J30" s="3"/>
      <c r="K30" s="3"/>
      <c r="L30" s="3"/>
      <c r="M30" s="3"/>
      <c r="N30" s="3"/>
      <c r="O30" s="3"/>
      <c r="P30" s="3"/>
      <c r="Q30" s="3"/>
      <c r="R30" s="3"/>
      <c r="S30" s="3"/>
      <c r="T30" s="3"/>
      <c r="U30" s="3"/>
      <c r="V30" s="3"/>
      <c r="W30" s="3"/>
      <c r="X30" s="3"/>
      <c r="Y30" s="13"/>
      <c r="Z30" s="5"/>
    </row>
    <row r="31" spans="1:26" x14ac:dyDescent="0.3">
      <c r="A31" s="13"/>
      <c r="B31" s="3"/>
      <c r="C31" s="3"/>
      <c r="D31" s="3"/>
      <c r="E31" s="3"/>
      <c r="F31" s="3"/>
      <c r="G31" s="3"/>
      <c r="H31" s="3"/>
      <c r="I31" s="3"/>
      <c r="J31" s="3"/>
      <c r="K31" s="3"/>
      <c r="L31" s="3"/>
      <c r="M31" s="3"/>
      <c r="N31" s="3"/>
      <c r="O31" s="3"/>
      <c r="P31" s="3"/>
      <c r="Q31" s="3"/>
      <c r="R31" s="3"/>
      <c r="S31" s="3"/>
      <c r="T31" s="3"/>
      <c r="U31" s="3"/>
      <c r="V31" s="3"/>
      <c r="W31" s="3"/>
      <c r="X31" s="3"/>
      <c r="Y31" s="13"/>
      <c r="Z31" s="5"/>
    </row>
    <row r="32" spans="1:26" x14ac:dyDescent="0.3">
      <c r="A32" s="13"/>
      <c r="B32" s="3"/>
      <c r="C32" s="3"/>
      <c r="D32" s="3"/>
      <c r="E32" s="3"/>
      <c r="F32" s="3"/>
      <c r="G32" s="3"/>
      <c r="H32" s="3"/>
      <c r="I32" s="3"/>
      <c r="J32" s="3"/>
      <c r="K32" s="3"/>
      <c r="L32" s="3"/>
      <c r="M32" s="3"/>
      <c r="N32" s="3"/>
      <c r="O32" s="3"/>
      <c r="P32" s="3"/>
      <c r="Q32" s="3"/>
      <c r="R32" s="3"/>
      <c r="S32" s="3"/>
      <c r="T32" s="3"/>
      <c r="U32" s="3"/>
      <c r="V32" s="3"/>
      <c r="W32" s="3"/>
      <c r="X32" s="3"/>
      <c r="Y32" s="13"/>
      <c r="Z32" s="5"/>
    </row>
    <row r="33" spans="1:26" x14ac:dyDescent="0.3">
      <c r="A33" s="13"/>
      <c r="B33" s="3"/>
      <c r="C33" s="3"/>
      <c r="D33" s="3"/>
      <c r="E33" s="3"/>
      <c r="F33" s="3"/>
      <c r="G33" s="3"/>
      <c r="H33" s="3"/>
      <c r="I33" s="3"/>
      <c r="J33" s="3"/>
      <c r="K33" s="3"/>
      <c r="L33" s="3"/>
      <c r="M33" s="3"/>
      <c r="N33" s="3"/>
      <c r="O33" s="3"/>
      <c r="P33" s="3"/>
      <c r="Q33" s="3"/>
      <c r="R33" s="3"/>
      <c r="S33" s="3"/>
      <c r="T33" s="3"/>
      <c r="U33" s="3"/>
      <c r="V33" s="3"/>
      <c r="W33" s="3"/>
      <c r="X33" s="3"/>
      <c r="Y33" s="13"/>
      <c r="Z33" s="5"/>
    </row>
    <row r="34" spans="1:26" x14ac:dyDescent="0.3">
      <c r="A34" s="13"/>
      <c r="B34" s="3"/>
      <c r="C34" s="3"/>
      <c r="D34" s="3"/>
      <c r="E34" s="3"/>
      <c r="F34" s="3"/>
      <c r="G34" s="3"/>
      <c r="H34" s="3"/>
      <c r="I34" s="3"/>
      <c r="J34" s="3"/>
      <c r="K34" s="3"/>
      <c r="L34" s="3"/>
      <c r="M34" s="3"/>
      <c r="N34" s="3"/>
      <c r="O34" s="3"/>
      <c r="P34" s="3"/>
      <c r="Q34" s="3"/>
      <c r="R34" s="3"/>
      <c r="S34" s="3"/>
      <c r="T34" s="3"/>
      <c r="U34" s="3"/>
      <c r="V34" s="3"/>
      <c r="W34" s="3"/>
      <c r="X34" s="3"/>
      <c r="Y34" s="13"/>
      <c r="Z34" s="5"/>
    </row>
    <row r="35" spans="1:26" x14ac:dyDescent="0.3">
      <c r="A35" s="13"/>
      <c r="B35" s="3"/>
      <c r="C35" s="3"/>
      <c r="D35" s="3"/>
      <c r="E35" s="3"/>
      <c r="F35" s="3"/>
      <c r="G35" s="3"/>
      <c r="H35" s="3"/>
      <c r="I35" s="3"/>
      <c r="J35" s="3"/>
      <c r="K35" s="3"/>
      <c r="L35" s="3"/>
      <c r="M35" s="3"/>
      <c r="N35" s="3"/>
      <c r="O35" s="3"/>
      <c r="P35" s="3"/>
      <c r="Q35" s="3"/>
      <c r="R35" s="3"/>
      <c r="S35" s="3"/>
      <c r="T35" s="3"/>
      <c r="U35" s="3"/>
      <c r="V35" s="3"/>
      <c r="W35" s="3"/>
      <c r="X35" s="3"/>
      <c r="Y35" s="13"/>
      <c r="Z35" s="5"/>
    </row>
    <row r="36" spans="1:26" x14ac:dyDescent="0.3">
      <c r="A36" s="13"/>
      <c r="B36" s="3"/>
      <c r="C36" s="3"/>
      <c r="D36" s="3"/>
      <c r="E36" s="3"/>
      <c r="F36" s="3"/>
      <c r="G36" s="3"/>
      <c r="H36" s="3"/>
      <c r="I36" s="3"/>
      <c r="J36" s="3"/>
      <c r="K36" s="3"/>
      <c r="L36" s="3"/>
      <c r="M36" s="3"/>
      <c r="N36" s="3"/>
      <c r="O36" s="3"/>
      <c r="P36" s="3"/>
      <c r="Q36" s="3"/>
      <c r="R36" s="3"/>
      <c r="S36" s="3"/>
      <c r="T36" s="3"/>
      <c r="U36" s="3"/>
      <c r="V36" s="3"/>
      <c r="W36" s="3"/>
      <c r="X36" s="3"/>
      <c r="Y36" s="13"/>
      <c r="Z36" s="5"/>
    </row>
    <row r="37" spans="1:26" ht="5.0999999999999996" customHeight="1" x14ac:dyDescent="0.3">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5"/>
    </row>
    <row r="38" spans="1:26" x14ac:dyDescent="0.3">
      <c r="A38" s="13"/>
      <c r="B38" s="15" t="s">
        <v>9</v>
      </c>
      <c r="C38" s="25">
        <f>'Stock Fx'!C3</f>
        <v>34068.68</v>
      </c>
      <c r="D38" s="24">
        <f>E38</f>
        <v>4.607E-3</v>
      </c>
      <c r="E38" s="16">
        <f>'Stock Fx'!D3</f>
        <v>4.607E-3</v>
      </c>
      <c r="F38" s="15" t="s">
        <v>8</v>
      </c>
      <c r="G38" s="25">
        <f>'Stock Fx'!C4</f>
        <v>4302.18</v>
      </c>
      <c r="H38" s="24">
        <f>I38</f>
        <v>1.173E-3</v>
      </c>
      <c r="I38" s="16">
        <f>'Stock Fx'!D4</f>
        <v>1.173E-3</v>
      </c>
      <c r="J38" s="15" t="s">
        <v>10</v>
      </c>
      <c r="K38" s="25">
        <f>'Stock Fx'!C5</f>
        <v>13052.913</v>
      </c>
      <c r="L38" s="24">
        <f>M38</f>
        <v>-5.7239999999999999E-3</v>
      </c>
      <c r="M38" s="16">
        <f>'Stock Fx'!D5</f>
        <v>-5.7239999999999999E-3</v>
      </c>
      <c r="N38" s="12"/>
      <c r="O38" s="12"/>
      <c r="P38" s="12"/>
      <c r="Q38" s="12"/>
      <c r="R38" s="12"/>
      <c r="S38" s="12"/>
      <c r="T38" s="12"/>
      <c r="U38" s="12"/>
      <c r="V38" s="12"/>
      <c r="W38" s="12"/>
      <c r="X38" s="12"/>
      <c r="Y38" s="13"/>
      <c r="Z38" s="5"/>
    </row>
    <row r="39" spans="1:26" ht="5.0999999999999996" customHeight="1" x14ac:dyDescent="0.3">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5"/>
    </row>
    <row r="40" spans="1:26" x14ac:dyDescent="0.3">
      <c r="A40" s="13"/>
      <c r="B40" s="15" t="str">
        <f>'Stock Fx'!B6</f>
        <v>AAPL</v>
      </c>
      <c r="C40" s="25">
        <f>'Stock Fx'!C6</f>
        <v>172.06</v>
      </c>
      <c r="D40" s="24">
        <f>E40</f>
        <v>-6.5249999999999996E-3</v>
      </c>
      <c r="E40" s="16">
        <f>'Stock Fx'!D6</f>
        <v>-6.5249999999999996E-3</v>
      </c>
      <c r="F40" s="15" t="str">
        <f>'Stock Fx'!B7</f>
        <v>MSFT</v>
      </c>
      <c r="G40" s="25">
        <f>'Stock Fx'!C7</f>
        <v>291.4547</v>
      </c>
      <c r="H40" s="24">
        <f>I40</f>
        <v>-6.8669999999999998E-3</v>
      </c>
      <c r="I40" s="16">
        <f>'Stock Fx'!D7</f>
        <v>-6.8669999999999998E-3</v>
      </c>
      <c r="J40" s="15" t="str">
        <f>'Stock Fx'!B8</f>
        <v>GOOG</v>
      </c>
      <c r="K40" s="25">
        <f>'Stock Fx'!C8</f>
        <v>122.03</v>
      </c>
      <c r="L40" s="24">
        <f>M40</f>
        <v>-6.9169999999999995E-3</v>
      </c>
      <c r="M40" s="16">
        <f>'Stock Fx'!D8</f>
        <v>-6.9169999999999995E-3</v>
      </c>
      <c r="N40" s="12"/>
      <c r="O40" s="12"/>
      <c r="P40" s="12"/>
      <c r="Q40" s="12"/>
      <c r="R40" s="12"/>
      <c r="S40" s="12"/>
      <c r="T40" s="12"/>
      <c r="U40" s="12"/>
      <c r="V40" s="12"/>
      <c r="W40" s="12"/>
      <c r="X40" s="12"/>
      <c r="Y40" s="13"/>
      <c r="Z40" s="5"/>
    </row>
    <row r="41" spans="1:26" ht="5.0999999999999996" customHeight="1" x14ac:dyDescent="0.3">
      <c r="A41" s="13"/>
      <c r="B41" s="13"/>
      <c r="C41" s="26"/>
      <c r="D41" s="13"/>
      <c r="E41" s="13"/>
      <c r="F41" s="13"/>
      <c r="G41" s="26"/>
      <c r="H41" s="13"/>
      <c r="I41" s="13"/>
      <c r="J41" s="13"/>
      <c r="K41" s="26"/>
      <c r="L41" s="13"/>
      <c r="M41" s="13"/>
      <c r="N41" s="13"/>
      <c r="O41" s="13"/>
      <c r="P41" s="13"/>
      <c r="Q41" s="13"/>
      <c r="R41" s="13"/>
      <c r="S41" s="13"/>
      <c r="T41" s="13"/>
      <c r="U41" s="13"/>
      <c r="V41" s="13"/>
      <c r="W41" s="13"/>
      <c r="X41" s="13"/>
      <c r="Y41" s="13"/>
      <c r="Z41" s="5"/>
    </row>
    <row r="42" spans="1:26" x14ac:dyDescent="0.3">
      <c r="A42" s="13"/>
      <c r="B42" s="15" t="str">
        <f>'Stock Fx'!B9</f>
        <v>AMZ</v>
      </c>
      <c r="C42" s="25">
        <f>'Stock Fx'!C9</f>
        <v>143.02000000000001</v>
      </c>
      <c r="D42" s="24">
        <f>E42</f>
        <v>1.2603E-2</v>
      </c>
      <c r="E42" s="16">
        <f>'Stock Fx'!D9</f>
        <v>1.2603E-2</v>
      </c>
      <c r="F42" s="15" t="str">
        <f>'Stock Fx'!B10</f>
        <v>META</v>
      </c>
      <c r="G42" s="25">
        <f>'Stock Fx'!C10</f>
        <v>178.34</v>
      </c>
      <c r="H42" s="24">
        <f>I42</f>
        <v>-1.4097E-2</v>
      </c>
      <c r="I42" s="16">
        <f>'Stock Fx'!D10</f>
        <v>-1.4097E-2</v>
      </c>
      <c r="J42" s="15" t="str">
        <f>'Stock Fx'!B11</f>
        <v>TSLA</v>
      </c>
      <c r="K42" s="25">
        <f>'Stock Fx'!C11</f>
        <v>917.20500000000004</v>
      </c>
      <c r="L42" s="24">
        <f>M42</f>
        <v>-1.159E-2</v>
      </c>
      <c r="M42" s="16">
        <f>'Stock Fx'!D11</f>
        <v>-1.159E-2</v>
      </c>
      <c r="N42" s="12"/>
      <c r="O42" s="12"/>
      <c r="P42" s="12"/>
      <c r="Q42" s="12"/>
      <c r="R42" s="12"/>
      <c r="S42" s="12"/>
      <c r="T42" s="12"/>
      <c r="U42" s="12"/>
      <c r="V42" s="12"/>
      <c r="W42" s="12"/>
      <c r="X42" s="12"/>
      <c r="Y42" s="13"/>
      <c r="Z42" s="5"/>
    </row>
    <row r="43" spans="1:26" ht="5.0999999999999996" customHeight="1" x14ac:dyDescent="0.3">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5"/>
    </row>
    <row r="44" spans="1:26" x14ac:dyDescent="0.3">
      <c r="A44" s="5"/>
      <c r="B44" s="5"/>
      <c r="C44" s="5"/>
      <c r="D44" s="5"/>
      <c r="E44" s="5"/>
      <c r="F44" s="5"/>
      <c r="G44" s="5"/>
      <c r="H44" s="5"/>
      <c r="I44" s="5"/>
      <c r="J44" s="5"/>
      <c r="K44" s="5"/>
      <c r="L44" s="5"/>
      <c r="M44" s="5"/>
      <c r="N44" s="5"/>
      <c r="O44" s="5"/>
      <c r="P44" s="5"/>
      <c r="Q44" s="5"/>
      <c r="R44" s="5"/>
      <c r="S44" s="5"/>
      <c r="T44" s="5"/>
      <c r="U44" s="5"/>
      <c r="V44" s="5"/>
      <c r="W44" s="5"/>
      <c r="X44" s="5"/>
      <c r="Y44" s="5"/>
      <c r="Z44" s="5"/>
    </row>
    <row r="45" spans="1:26" x14ac:dyDescent="0.3">
      <c r="A45" s="5"/>
      <c r="B45" s="5"/>
      <c r="C45" s="5"/>
      <c r="D45" s="5"/>
      <c r="E45" s="5"/>
      <c r="F45" s="5"/>
      <c r="G45" s="5"/>
      <c r="H45" s="5"/>
      <c r="I45" s="5"/>
      <c r="J45" s="5"/>
      <c r="K45" s="5"/>
      <c r="L45" s="5"/>
      <c r="M45" s="5"/>
      <c r="N45" s="5"/>
      <c r="O45" s="5"/>
      <c r="P45" s="5"/>
      <c r="Q45" s="5"/>
      <c r="R45" s="5"/>
      <c r="S45" s="5"/>
      <c r="T45" s="5"/>
      <c r="U45" s="5"/>
      <c r="V45" s="5"/>
      <c r="W45" s="5"/>
      <c r="X45" s="5"/>
      <c r="Y45" s="5"/>
      <c r="Z45" s="5"/>
    </row>
    <row r="46" spans="1:26" x14ac:dyDescent="0.3">
      <c r="A46" s="5"/>
      <c r="B46" s="5"/>
      <c r="C46" s="5"/>
      <c r="D46" s="5"/>
      <c r="E46" s="5"/>
      <c r="F46" s="5"/>
      <c r="G46" s="5"/>
      <c r="H46" s="5"/>
      <c r="I46" s="5"/>
      <c r="J46" s="5"/>
      <c r="K46" s="5"/>
      <c r="L46" s="5"/>
      <c r="M46" s="5"/>
      <c r="N46" s="5"/>
      <c r="O46" s="5"/>
      <c r="P46" s="5"/>
      <c r="Q46" s="5"/>
      <c r="R46" s="5"/>
      <c r="S46" s="5"/>
      <c r="T46" s="5"/>
      <c r="U46" s="5"/>
      <c r="V46" s="5"/>
      <c r="W46" s="5"/>
      <c r="X46" s="5"/>
      <c r="Y46" s="5"/>
      <c r="Z46" s="5"/>
    </row>
    <row r="47" spans="1:26" s="5" customFormat="1" x14ac:dyDescent="0.3"/>
    <row r="48" spans="1:26" s="5" customFormat="1" x14ac:dyDescent="0.3"/>
    <row r="49" s="5" customFormat="1" x14ac:dyDescent="0.3"/>
    <row r="50" s="5" customFormat="1" x14ac:dyDescent="0.3"/>
    <row r="51" s="5" customFormat="1" x14ac:dyDescent="0.3"/>
    <row r="52" s="5" customFormat="1" x14ac:dyDescent="0.3"/>
    <row r="53" s="5" customFormat="1" x14ac:dyDescent="0.3"/>
    <row r="54" s="5" customFormat="1" x14ac:dyDescent="0.3"/>
    <row r="55" s="5" customFormat="1" x14ac:dyDescent="0.3"/>
    <row r="56" s="5" customFormat="1" x14ac:dyDescent="0.3"/>
    <row r="57" s="5" customFormat="1" x14ac:dyDescent="0.3"/>
    <row r="58" s="5" customFormat="1" x14ac:dyDescent="0.3"/>
    <row r="59" s="5" customFormat="1" x14ac:dyDescent="0.3"/>
    <row r="60" s="5" customFormat="1" x14ac:dyDescent="0.3"/>
    <row r="61" s="5" customFormat="1" x14ac:dyDescent="0.3"/>
    <row r="62" s="5" customFormat="1" x14ac:dyDescent="0.3"/>
    <row r="63" s="5" customFormat="1" x14ac:dyDescent="0.3"/>
    <row r="64" s="5" customFormat="1" x14ac:dyDescent="0.3"/>
    <row r="65" s="5" customFormat="1" x14ac:dyDescent="0.3"/>
    <row r="66" s="5" customFormat="1" x14ac:dyDescent="0.3"/>
    <row r="67" s="5" customFormat="1" x14ac:dyDescent="0.3"/>
    <row r="68" s="5" customFormat="1" x14ac:dyDescent="0.3"/>
    <row r="69" s="5" customFormat="1" x14ac:dyDescent="0.3"/>
    <row r="70" s="5" customFormat="1" x14ac:dyDescent="0.3"/>
    <row r="71" s="5" customFormat="1" x14ac:dyDescent="0.3"/>
    <row r="72" s="5" customFormat="1" x14ac:dyDescent="0.3"/>
    <row r="73" s="5" customFormat="1" x14ac:dyDescent="0.3"/>
    <row r="74" s="5" customFormat="1" x14ac:dyDescent="0.3"/>
    <row r="75" s="5" customFormat="1" x14ac:dyDescent="0.3"/>
  </sheetData>
  <mergeCells count="4">
    <mergeCell ref="J6:K6"/>
    <mergeCell ref="R4:S4"/>
    <mergeCell ref="T4:W4"/>
    <mergeCell ref="F6:G6"/>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F3556-98F2-4236-AB7E-FCC17D948BCA}">
  <sheetPr codeName="Sheet3"/>
  <dimension ref="A2:D11"/>
  <sheetViews>
    <sheetView workbookViewId="0">
      <selection activeCell="C6" sqref="C6"/>
    </sheetView>
  </sheetViews>
  <sheetFormatPr defaultRowHeight="14.4" x14ac:dyDescent="0.3"/>
  <cols>
    <col min="1" max="1" width="40.33203125" bestFit="1" customWidth="1"/>
    <col min="2" max="2" width="10.6640625" bestFit="1" customWidth="1"/>
    <col min="3" max="3" width="11.5546875" bestFit="1" customWidth="1"/>
  </cols>
  <sheetData>
    <row r="2" spans="1:4" x14ac:dyDescent="0.3">
      <c r="B2" s="11" t="s">
        <v>7</v>
      </c>
      <c r="C2" s="11" t="s">
        <v>5</v>
      </c>
      <c r="D2" s="11" t="s">
        <v>6</v>
      </c>
    </row>
    <row r="3" spans="1:4" x14ac:dyDescent="0.3">
      <c r="A3" t="e" vm="1">
        <v>#VALUE!</v>
      </c>
      <c r="B3" t="str" cm="1">
        <f t="array" ref="B3">_FV(A3,"Ticker symbol",TRUE)</f>
        <v>DJI</v>
      </c>
      <c r="C3" s="10" cm="1">
        <f t="array" ref="C3">_FV(A3,"Price")</f>
        <v>34068.68</v>
      </c>
      <c r="D3" s="23" cm="1">
        <f t="array" ref="D3">_FV(A3,"Change (%)",TRUE)</f>
        <v>4.607E-3</v>
      </c>
    </row>
    <row r="4" spans="1:4" x14ac:dyDescent="0.3">
      <c r="A4" t="e" vm="2">
        <v>#VALUE!</v>
      </c>
      <c r="B4" t="str" cm="1">
        <f t="array" ref="B4">_FV(A4,"Ticker symbol",TRUE)</f>
        <v>INX</v>
      </c>
      <c r="C4" s="10" cm="1">
        <f t="array" ref="C4">_FV(A4,"Price")</f>
        <v>4302.18</v>
      </c>
      <c r="D4" s="23" cm="1">
        <f t="array" ref="D4">_FV(A4,"Change (%)",TRUE)</f>
        <v>1.173E-3</v>
      </c>
    </row>
    <row r="5" spans="1:4" x14ac:dyDescent="0.3">
      <c r="A5" t="e" vm="3">
        <v>#VALUE!</v>
      </c>
      <c r="B5" t="str" cm="1">
        <f t="array" ref="B5">_FV(A5,"Ticker symbol",TRUE)</f>
        <v>COMP</v>
      </c>
      <c r="C5" s="10" cm="1">
        <f t="array" ref="C5">_FV(A5,"Price")</f>
        <v>13052.913</v>
      </c>
      <c r="D5" s="23" cm="1">
        <f t="array" ref="D5">_FV(A5,"Change (%)",TRUE)</f>
        <v>-5.7239999999999999E-3</v>
      </c>
    </row>
    <row r="6" spans="1:4" x14ac:dyDescent="0.3">
      <c r="A6" t="e" vm="4">
        <v>#VALUE!</v>
      </c>
      <c r="B6" t="str" cm="1">
        <f t="array" ref="B6">_FV(A6,"Ticker symbol",TRUE)</f>
        <v>AAPL</v>
      </c>
      <c r="C6" s="10" cm="1">
        <f t="array" ref="C6">_FV(A6,"Price")</f>
        <v>172.06</v>
      </c>
      <c r="D6" s="23" cm="1">
        <f t="array" ref="D6">_FV(A6,"Change (%)",TRUE)</f>
        <v>-6.5249999999999996E-3</v>
      </c>
    </row>
    <row r="7" spans="1:4" x14ac:dyDescent="0.3">
      <c r="A7" t="e" vm="5">
        <v>#VALUE!</v>
      </c>
      <c r="B7" t="str" cm="1">
        <f t="array" ref="B7">_FV(A7,"Ticker symbol",TRUE)</f>
        <v>MSFT</v>
      </c>
      <c r="C7" s="10" cm="1">
        <f t="array" ref="C7">_FV(A7,"Price")</f>
        <v>291.4547</v>
      </c>
      <c r="D7" s="23" cm="1">
        <f t="array" ref="D7">_FV(A7,"Change (%)",TRUE)</f>
        <v>-6.8669999999999998E-3</v>
      </c>
    </row>
    <row r="8" spans="1:4" x14ac:dyDescent="0.3">
      <c r="A8" t="e" vm="6">
        <v>#VALUE!</v>
      </c>
      <c r="B8" t="str" cm="1">
        <f t="array" ref="B8">_FV(A8,"Ticker symbol",TRUE)</f>
        <v>GOOG</v>
      </c>
      <c r="C8" s="10" cm="1">
        <f t="array" ref="C8">_FV(A8,"Price")</f>
        <v>122.03</v>
      </c>
      <c r="D8" s="23" cm="1">
        <f t="array" ref="D8">_FV(A8,"Change (%)",TRUE)</f>
        <v>-6.9169999999999995E-3</v>
      </c>
    </row>
    <row r="9" spans="1:4" x14ac:dyDescent="0.3">
      <c r="A9" t="e" vm="7">
        <v>#VALUE!</v>
      </c>
      <c r="B9" t="str" cm="1">
        <f t="array" ref="B9">_FV(A9,"Ticker symbol",TRUE)</f>
        <v>AMZ</v>
      </c>
      <c r="C9" s="10" cm="1">
        <f t="array" ref="C9">_FV(A9,"Price")</f>
        <v>143.02000000000001</v>
      </c>
      <c r="D9" s="23" cm="1">
        <f t="array" ref="D9">_FV(A9,"Change (%)",TRUE)</f>
        <v>1.2603E-2</v>
      </c>
    </row>
    <row r="10" spans="1:4" x14ac:dyDescent="0.3">
      <c r="A10" t="e" vm="8">
        <v>#VALUE!</v>
      </c>
      <c r="B10" t="str" cm="1">
        <f t="array" ref="B10">_FV(A10,"Ticker symbol",TRUE)</f>
        <v>META</v>
      </c>
      <c r="C10" s="10" cm="1">
        <f t="array" ref="C10">_FV(A10,"Price")</f>
        <v>178.34</v>
      </c>
      <c r="D10" s="23" cm="1">
        <f t="array" ref="D10">_FV(A10,"Change (%)",TRUE)</f>
        <v>-1.4097E-2</v>
      </c>
    </row>
    <row r="11" spans="1:4" x14ac:dyDescent="0.3">
      <c r="A11" t="e" vm="9">
        <v>#VALUE!</v>
      </c>
      <c r="B11" t="str" cm="1">
        <f t="array" ref="B11">_FV(A11,"Ticker symbol",TRUE)</f>
        <v>TSLA</v>
      </c>
      <c r="C11" s="10" cm="1">
        <f t="array" ref="C11">_FV(A11,"Price")</f>
        <v>917.20500000000004</v>
      </c>
      <c r="D11" s="23" cm="1">
        <f t="array" ref="D11">_FV(A11,"Change (%)",TRUE)</f>
        <v>-1.159E-2</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80779E0-9DA7-42C0-A752-17182395897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Analysis</vt:lpstr>
      <vt:lpstr>Stock Fx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daryle</dc:creator>
  <cp:lastModifiedBy>JakeBondoa</cp:lastModifiedBy>
  <dcterms:created xsi:type="dcterms:W3CDTF">2015-06-05T18:17:20Z</dcterms:created>
  <dcterms:modified xsi:type="dcterms:W3CDTF">2022-08-16T18:54:41Z</dcterms:modified>
</cp:coreProperties>
</file>